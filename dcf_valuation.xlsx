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orecast" sheetId="2" state="visible" r:id="rId4"/>
    <sheet name="WACC" sheetId="3" state="visible" r:id="rId5"/>
    <sheet name="DCF" sheetId="4" state="visible" r:id="rId6"/>
    <sheet name="Sensitivity" sheetId="5" state="visible" r:id="rId7"/>
    <sheet name="Comp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Illustrative share count: 1,000 thousand shares (1.0m).</t>
        </r>
      </text>
    </comment>
  </commentList>
</comments>
</file>

<file path=xl/sharedStrings.xml><?xml version="1.0" encoding="utf-8"?>
<sst xmlns="http://schemas.openxmlformats.org/spreadsheetml/2006/main" count="127" uniqueCount="117">
  <si>
    <t xml:space="preserve">DCF &amp; Comparable Companies Valuation</t>
  </si>
  <si>
    <t xml:space="preserve">Illustrative Manufacturing Co. | valuation date 31 Dec 2025 | $ thousands unless stated</t>
  </si>
  <si>
    <t xml:space="preserve">Purpose</t>
  </si>
  <si>
    <t xml:space="preserve">Values the company three ways (DCF with perpetuity growth, DCF with an exit multiple, and trading comparables) and compares them on one summary page.</t>
  </si>
  <si>
    <t xml:space="preserve">Data</t>
  </si>
  <si>
    <t xml:space="preserve">Forecast from the base case of the three-statement-model project. Market inputs and peer multiples are illustrative, not real market data.</t>
  </si>
  <si>
    <t xml:space="preserve">How to use</t>
  </si>
  <si>
    <t xml:space="preserve">Change the blue or yellow cells on the WACC, DCF and Comps sheets. Everything else is a formula.</t>
  </si>
  <si>
    <t xml:space="preserve">Sheets</t>
  </si>
  <si>
    <t xml:space="preserve">Forecast &gt; WACC &gt; DCF &gt; Sensitivity &gt; Comps &gt; Summary</t>
  </si>
  <si>
    <t xml:space="preserve">Colour key</t>
  </si>
  <si>
    <t xml:space="preserve">Blue = hardcoded input | Black = formula | Green = link to another sheet | Yellow fill = key assumption</t>
  </si>
  <si>
    <t xml:space="preserve">Author</t>
  </si>
  <si>
    <t xml:space="preserve">Muhammed Anshaj K</t>
  </si>
  <si>
    <t xml:space="preserve">Forecast inputs</t>
  </si>
  <si>
    <t xml:space="preserve">Illustrative Manufacturing Co. ($ thousands unless stated)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</si>
  <si>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</si>
  <si>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</si>
  <si>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</si>
  <si>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</si>
  <si>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</si>
  <si>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</si>
  <si>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</t>
  </si>
  <si>
    <t xml:space="preserve">EBITDA</t>
  </si>
  <si>
    <t xml:space="preserve">Depreciation &amp; amortisation</t>
  </si>
  <si>
    <t xml:space="preserve">EBIT</t>
  </si>
  <si>
    <t xml:space="preserve">Capital expenditure</t>
  </si>
  <si>
    <t xml:space="preserve">Net working capital (AR + inventory - AP)</t>
  </si>
  <si>
    <t xml:space="preserve">Net income</t>
  </si>
  <si>
    <t xml:space="preserve">Balance sheet at 31 Dec 2025</t>
  </si>
  <si>
    <t xml:space="preserve">Cash</t>
  </si>
  <si>
    <t xml:space="preserve">Debt</t>
  </si>
  <si>
    <t xml:space="preserve">Shares outstanding (thousands)</t>
  </si>
  <si>
    <t xml:space="preserve">Source: base case of the three-statement-model project (github.com/MuhammedAnshajK/three-statement-model), rounded to 0.1. Shares outstanding are illustrative.</t>
  </si>
  <si>
    <t xml:space="preserve">Discount rate (WACC)</t>
  </si>
  <si>
    <t xml:space="preserve">Risk-free rate</t>
  </si>
  <si>
    <t xml:space="preserve">Illustrative long-term government bond yield</t>
  </si>
  <si>
    <t xml:space="preserve">Equity risk premium</t>
  </si>
  <si>
    <t xml:space="preserve">Illustrative market premium</t>
  </si>
  <si>
    <t xml:space="preserve">Beta (levered)</t>
  </si>
  <si>
    <t xml:space="preserve">Illustrative, in line with industrial peers</t>
  </si>
  <si>
    <t xml:space="preserve">Cost of equity (CAPM)</t>
  </si>
  <si>
    <t xml:space="preserve">Risk-free + beta x equity risk premium</t>
  </si>
  <si>
    <t xml:space="preserve">Pre-tax cost of debt</t>
  </si>
  <si>
    <t xml:space="preserve">Matches the 7% interest rate in the three-statement model</t>
  </si>
  <si>
    <t xml:space="preserve">Tax rate</t>
  </si>
  <si>
    <t xml:space="preserve">Matches the forecast tax rate</t>
  </si>
  <si>
    <t xml:space="preserve">After-tax cost of debt</t>
  </si>
  <si>
    <t xml:space="preserve">Target debt / (debt + equity)</t>
  </si>
  <si>
    <t xml:space="preserve">Illustrative target capital structure</t>
  </si>
  <si>
    <t xml:space="preserve">Target equity / (debt + equity)</t>
  </si>
  <si>
    <t xml:space="preserve">WACC</t>
  </si>
  <si>
    <t xml:space="preserve">Weighted average cost of capital</t>
  </si>
  <si>
    <t xml:space="preserve">Discounted cash flow</t>
  </si>
  <si>
    <t xml:space="preserve">Less: tax on EBIT</t>
  </si>
  <si>
    <t xml:space="preserve">NOPAT</t>
  </si>
  <si>
    <t xml:space="preserve">Add: depreciation &amp; amortisation</t>
  </si>
  <si>
    <t xml:space="preserve">Less: capital expenditure</t>
  </si>
  <si>
    <t xml:space="preserve">Less: increase in net working capital</t>
  </si>
  <si>
    <t xml:space="preserve">Unlevered free cash flow</t>
  </si>
  <si>
    <t xml:space="preserve">Discount period (years)</t>
  </si>
  <si>
    <t xml:space="preserve">Discount factor</t>
  </si>
  <si>
    <t xml:space="preserve">Present value of free cash flow</t>
  </si>
  <si>
    <t xml:space="preserve">Assumptions</t>
  </si>
  <si>
    <t xml:space="preserve">Terminal growth rate</t>
  </si>
  <si>
    <t xml:space="preserve">Exit EV / EBITDA multiple</t>
  </si>
  <si>
    <t xml:space="preserve">Valuation</t>
  </si>
  <si>
    <t xml:space="preserve">Perpetuity</t>
  </si>
  <si>
    <t xml:space="preserve">Exit multiple</t>
  </si>
  <si>
    <t xml:space="preserve">Sum of PV of free cash flows</t>
  </si>
  <si>
    <t xml:space="preserve">Terminal value (2030)</t>
  </si>
  <si>
    <t xml:space="preserve">PV of terminal value</t>
  </si>
  <si>
    <t xml:space="preserve">Enterprise value</t>
  </si>
  <si>
    <t xml:space="preserve">Less: debt</t>
  </si>
  <si>
    <t xml:space="preserve">Add: cash</t>
  </si>
  <si>
    <t xml:space="preserve">Equity value</t>
  </si>
  <si>
    <t xml:space="preserve">Value per share ($)</t>
  </si>
  <si>
    <t xml:space="preserve">Terminal value as % of EV</t>
  </si>
  <si>
    <t xml:space="preserve">Implied exit multiple / implied growth</t>
  </si>
  <si>
    <t xml:space="preserve">Cash flows are discounted at year end. Terminal value uses the 2030 free cash flow grown one year.</t>
  </si>
  <si>
    <t xml:space="preserve">Sensitivity: value per share ($)</t>
  </si>
  <si>
    <t xml:space="preserve">Perpetuity growth method | WACC down the side, terminal growth across the top</t>
  </si>
  <si>
    <t xml:space="preserve">WACC \ growth</t>
  </si>
  <si>
    <t xml:space="preserve">Centre cell (yellow) equals the base case on the DCF sheet.</t>
  </si>
  <si>
    <t xml:space="preserve">Check: centre less DCF value per share</t>
  </si>
  <si>
    <t xml:space="preserve">Trading comparables</t>
  </si>
  <si>
    <t xml:space="preserve">Illustrative peer group | multiples are made up for this example</t>
  </si>
  <si>
    <t xml:space="preserve">EV / Revenue</t>
  </si>
  <si>
    <t xml:space="preserve">EV / EBITDA</t>
  </si>
  <si>
    <t xml:space="preserve">P / E</t>
  </si>
  <si>
    <t xml:space="preserve">Peer A (industrial machinery)</t>
  </si>
  <si>
    <t xml:space="preserve">Peer B (components)</t>
  </si>
  <si>
    <t xml:space="preserve">Peer C (automation)</t>
  </si>
  <si>
    <t xml:space="preserve">Peer D (metal products)</t>
  </si>
  <si>
    <t xml:space="preserve">Peer E (equipment)</t>
  </si>
  <si>
    <t xml:space="preserve">Peer F (precision parts)</t>
  </si>
  <si>
    <t xml:space="preserve">25th percentile</t>
  </si>
  <si>
    <t xml:space="preserve">Median</t>
  </si>
  <si>
    <t xml:space="preserve">75th percentile</t>
  </si>
  <si>
    <t xml:space="preserve">Company metric (2025A)</t>
  </si>
  <si>
    <t xml:space="preserve">Implied value per share ($)</t>
  </si>
  <si>
    <t xml:space="preserve">At 25th percentile</t>
  </si>
  <si>
    <t xml:space="preserve">At median</t>
  </si>
  <si>
    <t xml:space="preserve">At 75th percentile</t>
  </si>
  <si>
    <t xml:space="preserve">Valuation summary</t>
  </si>
  <si>
    <t xml:space="preserve">Value per share ($) | the bars in the chart run from low to high</t>
  </si>
  <si>
    <t xml:space="preserve">Low</t>
  </si>
  <si>
    <t xml:space="preserve">High</t>
  </si>
  <si>
    <t xml:space="preserve">Range</t>
  </si>
  <si>
    <t xml:space="preserve">Base</t>
  </si>
  <si>
    <t xml:space="preserve">DCF: perpetuity growth (sensitivity)</t>
  </si>
  <si>
    <t xml:space="preserve">DCF: exit multiple (7.0x to 9.0x)</t>
  </si>
  <si>
    <t xml:space="preserve">Comps: EV / EBITDA (25th to 75th pct)</t>
  </si>
  <si>
    <t xml:space="preserve">Comps: EV / Revenue (25th to 75th pct)</t>
  </si>
  <si>
    <t xml:space="preserve">Comps: P / E (25th to 75th pct)</t>
  </si>
  <si>
    <t xml:space="preserve">Midpoint of all ranges</t>
  </si>
  <si>
    <t xml:space="preserve">The DCF sits above the trading comps because the forecast assumes margins expand from 19.5% to 22.0% EBITDA. Peers are valued on today's earnings.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</si>
</sst>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0.00"/>
    <numFmt numFmtId="168" formatCode="0"/>
    <numFmt numFmtId="169" formatCode="0.000"/>
    <numFmt numFmtId="170" formatCode="0.0\x"/>
    <numFmt numFmtId="171" formatCode="\$#,##0.00;&quot;($&quot;#,##0.00\);\-"/>
    <numFmt numFmtId="172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field: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Summary!$B$5:$B$9</c:f>
              <c:strCache>
                <c:ptCount val="5"/>
                <c:pt idx="0">
                  <c:v>DCF: perpetuity growth (sensitivity)</c:v>
                </c:pt>
                <c:pt idx="1">
                  <c:v>DCF: exit multiple (7.0x to 9.0x)</c:v>
                </c:pt>
                <c:pt idx="2">
                  <c:v>Comps: EV / EBITDA (25th to 75th pct)</c:v>
                </c:pt>
                <c:pt idx="3">
                  <c:v>Comps: EV / Revenue (25th to 75th pct)</c:v>
                </c:pt>
                <c:pt idx="4">
                  <c:v>Comps: P / E (25th to 75th pct)</c:v>
                </c:pt>
              </c:strCache>
            </c:strRef>
          </c:cat>
          <c:val>
            <c:numRef>
              <c:f>Summary!$C$5:$C$9</c:f>
              <c:numCache>
                <c:formatCode>\$#,##0.00;"($"#,##0.00\);\-</c:formatCode>
                <c:ptCount val="5"/>
                <c:pt idx="0">
                  <c:v>17.2911162205446</c:v>
                </c:pt>
                <c:pt idx="1">
                  <c:v>21.0023675351982</c:v>
                </c:pt>
                <c:pt idx="2">
                  <c:v>15.2825</c:v>
                </c:pt>
                <c:pt idx="3">
                  <c:v>11.708</c:v>
                </c:pt>
                <c:pt idx="4">
                  <c:v>14.84175</c:v>
                </c:pt>
              </c:numCache>
            </c:numRef>
          </c:val>
        </c:ser>
        <c:ser>
          <c:idx val="1"/>
          <c:order val="1"/>
          <c:tx>
            <c:strRef>
              <c:f>Summary!E4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Summary!$B$5:$B$9</c:f>
              <c:strCache>
                <c:ptCount val="5"/>
                <c:pt idx="0">
                  <c:v>DCF: perpetuity growth (sensitivity)</c:v>
                </c:pt>
                <c:pt idx="1">
                  <c:v>DCF: exit multiple (7.0x to 9.0x)</c:v>
                </c:pt>
                <c:pt idx="2">
                  <c:v>Comps: EV / EBITDA (25th to 75th pct)</c:v>
                </c:pt>
                <c:pt idx="3">
                  <c:v>Comps: EV / Revenue (25th to 75th pct)</c:v>
                </c:pt>
                <c:pt idx="4">
                  <c:v>Comps: P / E (25th to 75th pct)</c:v>
                </c:pt>
              </c:strCache>
            </c:strRef>
          </c:cat>
          <c:val>
            <c:numRef>
              <c:f>Summary!$E$5:$E$9</c:f>
              <c:numCache>
                <c:formatCode>\$#,##0.00;"($"#,##0.00\);\-</c:formatCode>
                <c:ptCount val="5"/>
                <c:pt idx="0">
                  <c:v>14.2087886844383</c:v>
                </c:pt>
                <c:pt idx="1">
                  <c:v>4.92831345918111</c:v>
                </c:pt>
                <c:pt idx="2">
                  <c:v>4.797</c:v>
                </c:pt>
                <c:pt idx="3">
                  <c:v>7.5</c:v>
                </c:pt>
                <c:pt idx="4">
                  <c:v>3.98475</c:v>
                </c:pt>
              </c:numCache>
            </c:numRef>
          </c:val>
        </c:ser>
        <c:gapWidth val="150"/>
        <c:overlap val="100"/>
        <c:axId val="82659677"/>
        <c:axId val="19687829"/>
      </c:barChart>
      <c:catAx>
        <c:axId val="826596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87829"/>
        <c:crosses val="autoZero"/>
        <c:auto val="1"/>
        <c:lblAlgn val="ctr"/>
        <c:lblOffset val="100"/>
        <c:noMultiLvlLbl val="0"/>
      </c:catAx>
      <c:valAx>
        <c:axId val="19687829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59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160560</xdr:rowOff>
    </xdr:from>
    <xdr:to>
      <xdr:col>9</xdr:col>
      <xdr:colOff>305640</xdr:colOff>
      <xdr:row>30</xdr:row>
      <xdr:rowOff>161640</xdr:rowOff>
    </xdr:to>
    <xdr:graphicFrame>
      <xdr:nvGraphicFramePr>
        <xdr:cNvPr id="0" name="Chart 1"/>
        <xdr:cNvGraphicFramePr/>
      </xdr:nvGraphicFramePr>
      <xdr:xfrm>
        <a:off x="141120" y="2666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2"/>
  </cols>
  <sheetData>
    <row r="1" customFormat="false" ht="17.35" hidden="false" customHeight="false" outlineLevel="0" collapsed="false">
      <c r="B1" s="5" t="s">
        <v>14</v>
      </c>
    </row>
    <row r="2" customFormat="false" ht="15" hidden="false" customHeight="false" outlineLevel="0" collapsed="false">
      <c r="B2" s="2" t="s">
        <v>15</v>
      </c>
    </row>
    <row r="4" customFormat="false" ht="15" hidden="false" customHeight="false" outlineLevel="0" collapsed="false">
      <c r="B4" s="6"/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</row>
    <row r="5" customFormat="false" ht="15" hidden="false" customHeight="false" outlineLevel="0" collapsed="false">
      <c r="B5" s="8" t="s">
        <v>22</v>
      </c>
      <c r="C5" s="9" t="n">
        <v>12000</v>
      </c>
      <c r="D5" s="9" t="n">
        <v>13200</v>
      </c>
      <c r="E5" s="9" t="n">
        <v>14388</v>
      </c>
      <c r="F5" s="9" t="n">
        <v>15539</v>
      </c>
      <c r="G5" s="9" t="n">
        <v>16626.8</v>
      </c>
      <c r="H5" s="9" t="n">
        <v>17624.4</v>
      </c>
    </row>
    <row r="6" customFormat="false" ht="15" hidden="false" customHeight="false" outlineLevel="0" collapsed="false">
      <c r="B6" s="8" t="s">
        <v>23</v>
      </c>
      <c r="C6" s="9" t="n">
        <v>2340</v>
      </c>
      <c r="D6" s="9" t="n">
        <v>2640</v>
      </c>
      <c r="E6" s="9" t="n">
        <v>2949.5</v>
      </c>
      <c r="F6" s="9" t="n">
        <v>3340.9</v>
      </c>
      <c r="G6" s="9" t="n">
        <v>3574.8</v>
      </c>
      <c r="H6" s="9" t="n">
        <v>3877.4</v>
      </c>
    </row>
    <row r="7" customFormat="false" ht="15" hidden="false" customHeight="false" outlineLevel="0" collapsed="false">
      <c r="B7" s="8" t="s">
        <v>24</v>
      </c>
      <c r="C7" s="9" t="n">
        <v>600</v>
      </c>
      <c r="D7" s="9" t="n">
        <v>660</v>
      </c>
      <c r="E7" s="9" t="n">
        <v>719.4</v>
      </c>
      <c r="F7" s="9" t="n">
        <v>777</v>
      </c>
      <c r="G7" s="9" t="n">
        <v>831.3</v>
      </c>
      <c r="H7" s="9" t="n">
        <v>881.2</v>
      </c>
    </row>
    <row r="8" customFormat="false" ht="15" hidden="false" customHeight="false" outlineLevel="0" collapsed="false">
      <c r="B8" s="10" t="s">
        <v>25</v>
      </c>
      <c r="C8" s="11" t="n">
        <f aca="false">C6-C7</f>
        <v>1740</v>
      </c>
      <c r="D8" s="11" t="n">
        <f aca="false">D6-D7</f>
        <v>1980</v>
      </c>
      <c r="E8" s="11" t="n">
        <f aca="false">E6-E7</f>
        <v>2230.1</v>
      </c>
      <c r="F8" s="11" t="n">
        <f aca="false">F6-F7</f>
        <v>2563.9</v>
      </c>
      <c r="G8" s="11" t="n">
        <f aca="false">G6-G7</f>
        <v>2743.5</v>
      </c>
      <c r="H8" s="11" t="n">
        <f aca="false">H6-H7</f>
        <v>2996.2</v>
      </c>
    </row>
    <row r="9" customFormat="false" ht="15" hidden="false" customHeight="false" outlineLevel="0" collapsed="false">
      <c r="B9" s="8" t="s">
        <v>26</v>
      </c>
      <c r="D9" s="9" t="n">
        <v>858</v>
      </c>
      <c r="E9" s="9" t="n">
        <v>863.3</v>
      </c>
      <c r="F9" s="9" t="n">
        <v>932.3</v>
      </c>
      <c r="G9" s="9" t="n">
        <v>914.5</v>
      </c>
      <c r="H9" s="9" t="n">
        <v>969.3</v>
      </c>
    </row>
    <row r="10" customFormat="false" ht="15" hidden="false" customHeight="false" outlineLevel="0" collapsed="false">
      <c r="B10" s="8" t="s">
        <v>27</v>
      </c>
      <c r="C10" s="9" t="n">
        <v>1940</v>
      </c>
      <c r="D10" s="9" t="n">
        <v>2133.7</v>
      </c>
      <c r="E10" s="9" t="n">
        <v>2322.8</v>
      </c>
      <c r="F10" s="9" t="n">
        <v>2505.4</v>
      </c>
      <c r="G10" s="9" t="n">
        <v>2680.8</v>
      </c>
      <c r="H10" s="9" t="n">
        <v>2841.6</v>
      </c>
    </row>
    <row r="11" customFormat="false" ht="15" hidden="false" customHeight="false" outlineLevel="0" collapsed="false">
      <c r="B11" s="8" t="s">
        <v>28</v>
      </c>
      <c r="C11" s="9" t="n">
        <v>1155</v>
      </c>
    </row>
    <row r="13" customFormat="false" ht="15" hidden="false" customHeight="false" outlineLevel="0" collapsed="false">
      <c r="B13" s="10" t="s">
        <v>29</v>
      </c>
    </row>
    <row r="14" customFormat="false" ht="15" hidden="false" customHeight="false" outlineLevel="0" collapsed="false">
      <c r="B14" s="8" t="s">
        <v>30</v>
      </c>
      <c r="C14" s="9" t="n">
        <v>908</v>
      </c>
    </row>
    <row r="15" customFormat="false" ht="15" hidden="false" customHeight="false" outlineLevel="0" collapsed="false">
      <c r="B15" s="8" t="s">
        <v>31</v>
      </c>
      <c r="C15" s="9" t="n">
        <v>3000</v>
      </c>
    </row>
    <row r="16" customFormat="false" ht="15" hidden="false" customHeight="false" outlineLevel="0" collapsed="false">
      <c r="B16" s="8" t="s">
        <v>32</v>
      </c>
      <c r="C16" s="12" t="n">
        <v>1000</v>
      </c>
    </row>
    <row r="18" customFormat="false" ht="15" hidden="false" customHeight="false" outlineLevel="0" collapsed="false">
      <c r="B1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5" t="s">
        <v>34</v>
      </c>
    </row>
    <row r="2" customFormat="false" ht="15" hidden="false" customHeight="false" outlineLevel="0" collapsed="false">
      <c r="B2" s="2" t="s">
        <v>15</v>
      </c>
    </row>
    <row r="5" customFormat="false" ht="15" hidden="false" customHeight="false" outlineLevel="0" collapsed="false">
      <c r="B5" s="8" t="s">
        <v>35</v>
      </c>
      <c r="C5" s="13" t="n">
        <v>0.045</v>
      </c>
      <c r="D5" s="2" t="s">
        <v>36</v>
      </c>
    </row>
    <row r="6" customFormat="false" ht="15" hidden="false" customHeight="false" outlineLevel="0" collapsed="false">
      <c r="B6" s="8" t="s">
        <v>37</v>
      </c>
      <c r="C6" s="13" t="n">
        <v>0.055</v>
      </c>
      <c r="D6" s="2" t="s">
        <v>38</v>
      </c>
    </row>
    <row r="7" customFormat="false" ht="15" hidden="false" customHeight="false" outlineLevel="0" collapsed="false">
      <c r="B7" s="8" t="s">
        <v>39</v>
      </c>
      <c r="C7" s="14" t="n">
        <v>1.1</v>
      </c>
      <c r="D7" s="2" t="s">
        <v>40</v>
      </c>
    </row>
    <row r="8" customFormat="false" ht="15" hidden="false" customHeight="false" outlineLevel="0" collapsed="false">
      <c r="B8" s="10" t="s">
        <v>41</v>
      </c>
      <c r="C8" s="15" t="n">
        <f aca="false">C5+C7*C6</f>
        <v>0.1055</v>
      </c>
      <c r="D8" s="2" t="s">
        <v>42</v>
      </c>
    </row>
    <row r="10" customFormat="false" ht="15" hidden="false" customHeight="false" outlineLevel="0" collapsed="false">
      <c r="B10" s="8" t="s">
        <v>43</v>
      </c>
      <c r="C10" s="16" t="n">
        <v>0.07</v>
      </c>
      <c r="D10" s="2" t="s">
        <v>44</v>
      </c>
    </row>
    <row r="11" customFormat="false" ht="15" hidden="false" customHeight="false" outlineLevel="0" collapsed="false">
      <c r="B11" s="8" t="s">
        <v>45</v>
      </c>
      <c r="C11" s="16" t="n">
        <v>0.25</v>
      </c>
      <c r="D11" s="2" t="s">
        <v>46</v>
      </c>
    </row>
    <row r="12" customFormat="false" ht="15" hidden="false" customHeight="false" outlineLevel="0" collapsed="false">
      <c r="B12" s="8" t="s">
        <v>47</v>
      </c>
      <c r="C12" s="17" t="n">
        <f aca="false">C10*(1-C11)</f>
        <v>0.0525</v>
      </c>
      <c r="D12" s="2"/>
    </row>
    <row r="14" customFormat="false" ht="15" hidden="false" customHeight="false" outlineLevel="0" collapsed="false">
      <c r="B14" s="8" t="s">
        <v>48</v>
      </c>
      <c r="C14" s="13" t="n">
        <v>0.2</v>
      </c>
      <c r="D14" s="2" t="s">
        <v>49</v>
      </c>
    </row>
    <row r="15" customFormat="false" ht="15" hidden="false" customHeight="false" outlineLevel="0" collapsed="false">
      <c r="B15" s="8" t="s">
        <v>50</v>
      </c>
      <c r="C15" s="17" t="n">
        <f aca="false">1-C14</f>
        <v>0.8</v>
      </c>
      <c r="D15" s="2"/>
    </row>
    <row r="17" customFormat="false" ht="15" hidden="false" customHeight="false" outlineLevel="0" collapsed="false">
      <c r="B17" s="10" t="s">
        <v>51</v>
      </c>
      <c r="C17" s="18" t="n">
        <f aca="false">C15*C8+C14*C12</f>
        <v>0.0949</v>
      </c>
      <c r="D17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2"/>
  </cols>
  <sheetData>
    <row r="1" customFormat="false" ht="17.35" hidden="false" customHeight="false" outlineLevel="0" collapsed="false">
      <c r="B1" s="5" t="s">
        <v>53</v>
      </c>
    </row>
    <row r="2" customFormat="false" ht="15" hidden="false" customHeight="false" outlineLevel="0" collapsed="false">
      <c r="B2" s="2" t="s">
        <v>15</v>
      </c>
    </row>
    <row r="4" customFormat="false" ht="15" hidden="false" customHeight="false" outlineLevel="0" collapsed="false">
      <c r="B4" s="6"/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</row>
    <row r="5" customFormat="false" ht="15" hidden="false" customHeight="false" outlineLevel="0" collapsed="false">
      <c r="B5" s="8" t="s">
        <v>25</v>
      </c>
      <c r="C5" s="19" t="n">
        <f aca="false">Forecast!C8</f>
        <v>1740</v>
      </c>
      <c r="D5" s="19" t="n">
        <f aca="false">Forecast!D8</f>
        <v>1980</v>
      </c>
      <c r="E5" s="19" t="n">
        <f aca="false">Forecast!E8</f>
        <v>2230.1</v>
      </c>
      <c r="F5" s="19" t="n">
        <f aca="false">Forecast!F8</f>
        <v>2563.9</v>
      </c>
      <c r="G5" s="19" t="n">
        <f aca="false">Forecast!G8</f>
        <v>2743.5</v>
      </c>
      <c r="H5" s="19" t="n">
        <f aca="false">Forecast!H8</f>
        <v>2996.2</v>
      </c>
    </row>
    <row r="6" customFormat="false" ht="15" hidden="false" customHeight="false" outlineLevel="0" collapsed="false">
      <c r="B6" s="8" t="s">
        <v>54</v>
      </c>
      <c r="D6" s="19" t="n">
        <f aca="false">-D5*WACC!$C$11</f>
        <v>-495</v>
      </c>
      <c r="E6" s="19" t="n">
        <f aca="false">-E5*WACC!$C$11</f>
        <v>-557.525</v>
      </c>
      <c r="F6" s="19" t="n">
        <f aca="false">-F5*WACC!$C$11</f>
        <v>-640.975</v>
      </c>
      <c r="G6" s="19" t="n">
        <f aca="false">-G5*WACC!$C$11</f>
        <v>-685.875</v>
      </c>
      <c r="H6" s="19" t="n">
        <f aca="false">-H5*WACC!$C$11</f>
        <v>-749.05</v>
      </c>
    </row>
    <row r="7" customFormat="false" ht="15" hidden="false" customHeight="false" outlineLevel="0" collapsed="false">
      <c r="B7" s="10" t="s">
        <v>55</v>
      </c>
      <c r="D7" s="11" t="n">
        <f aca="false">D5+D6</f>
        <v>1485</v>
      </c>
      <c r="E7" s="11" t="n">
        <f aca="false">E5+E6</f>
        <v>1672.575</v>
      </c>
      <c r="F7" s="11" t="n">
        <f aca="false">F5+F6</f>
        <v>1922.925</v>
      </c>
      <c r="G7" s="11" t="n">
        <f aca="false">G5+G6</f>
        <v>2057.625</v>
      </c>
      <c r="H7" s="11" t="n">
        <f aca="false">H5+H6</f>
        <v>2247.15</v>
      </c>
    </row>
    <row r="8" customFormat="false" ht="15" hidden="false" customHeight="false" outlineLevel="0" collapsed="false">
      <c r="B8" s="8" t="s">
        <v>56</v>
      </c>
      <c r="D8" s="19" t="n">
        <f aca="false">Forecast!D7</f>
        <v>660</v>
      </c>
      <c r="E8" s="19" t="n">
        <f aca="false">Forecast!E7</f>
        <v>719.4</v>
      </c>
      <c r="F8" s="19" t="n">
        <f aca="false">Forecast!F7</f>
        <v>777</v>
      </c>
      <c r="G8" s="19" t="n">
        <f aca="false">Forecast!G7</f>
        <v>831.3</v>
      </c>
      <c r="H8" s="19" t="n">
        <f aca="false">Forecast!H7</f>
        <v>881.2</v>
      </c>
    </row>
    <row r="9" customFormat="false" ht="15" hidden="false" customHeight="false" outlineLevel="0" collapsed="false">
      <c r="B9" s="8" t="s">
        <v>57</v>
      </c>
      <c r="D9" s="19" t="n">
        <f aca="false">-Forecast!D9</f>
        <v>-858</v>
      </c>
      <c r="E9" s="19" t="n">
        <f aca="false">-Forecast!E9</f>
        <v>-863.3</v>
      </c>
      <c r="F9" s="19" t="n">
        <f aca="false">-Forecast!F9</f>
        <v>-932.3</v>
      </c>
      <c r="G9" s="19" t="n">
        <f aca="false">-Forecast!G9</f>
        <v>-914.5</v>
      </c>
      <c r="H9" s="19" t="n">
        <f aca="false">-Forecast!H9</f>
        <v>-969.3</v>
      </c>
    </row>
    <row r="10" customFormat="false" ht="15" hidden="false" customHeight="false" outlineLevel="0" collapsed="false">
      <c r="B10" s="8" t="s">
        <v>58</v>
      </c>
      <c r="D10" s="19" t="n">
        <f aca="false">-(Forecast!D10-Forecast!C10)</f>
        <v>-193.7</v>
      </c>
      <c r="E10" s="19" t="n">
        <f aca="false">-(Forecast!E10-Forecast!D10)</f>
        <v>-189.1</v>
      </c>
      <c r="F10" s="19" t="n">
        <f aca="false">-(Forecast!F10-Forecast!E10)</f>
        <v>-182.6</v>
      </c>
      <c r="G10" s="19" t="n">
        <f aca="false">-(Forecast!G10-Forecast!F10)</f>
        <v>-175.4</v>
      </c>
      <c r="H10" s="19" t="n">
        <f aca="false">-(Forecast!H10-Forecast!G10)</f>
        <v>-160.8</v>
      </c>
    </row>
    <row r="11" customFormat="false" ht="15" hidden="false" customHeight="false" outlineLevel="0" collapsed="false">
      <c r="B11" s="10" t="s">
        <v>59</v>
      </c>
      <c r="D11" s="11" t="n">
        <f aca="false">SUM(D7:D10)</f>
        <v>1093.3</v>
      </c>
      <c r="E11" s="11" t="n">
        <f aca="false">SUM(E7:E10)</f>
        <v>1339.575</v>
      </c>
      <c r="F11" s="11" t="n">
        <f aca="false">SUM(F7:F10)</f>
        <v>1585.025</v>
      </c>
      <c r="G11" s="11" t="n">
        <f aca="false">SUM(G7:G10)</f>
        <v>1799.025</v>
      </c>
      <c r="H11" s="11" t="n">
        <f aca="false">SUM(H7:H10)</f>
        <v>1998.25</v>
      </c>
    </row>
    <row r="13" customFormat="false" ht="15" hidden="false" customHeight="false" outlineLevel="0" collapsed="false">
      <c r="B13" s="8" t="s">
        <v>60</v>
      </c>
      <c r="D13" s="20" t="n">
        <v>1</v>
      </c>
      <c r="E13" s="20" t="n">
        <v>2</v>
      </c>
      <c r="F13" s="20" t="n">
        <v>3</v>
      </c>
      <c r="G13" s="20" t="n">
        <v>4</v>
      </c>
      <c r="H13" s="20" t="n">
        <v>5</v>
      </c>
    </row>
    <row r="14" customFormat="false" ht="15" hidden="false" customHeight="false" outlineLevel="0" collapsed="false">
      <c r="B14" s="8" t="s">
        <v>61</v>
      </c>
      <c r="D14" s="21" t="n">
        <f aca="false">1/(1+$C$18)^D13</f>
        <v>0.913325417846379</v>
      </c>
      <c r="E14" s="21" t="n">
        <f aca="false">1/(1+$C$18)^E13</f>
        <v>0.834163318884262</v>
      </c>
      <c r="F14" s="21" t="n">
        <f aca="false">1/(1+$C$18)^F13</f>
        <v>0.761862561772091</v>
      </c>
      <c r="G14" s="21" t="n">
        <f aca="false">1/(1+$C$18)^G13</f>
        <v>0.695828442572007</v>
      </c>
      <c r="H14" s="21" t="n">
        <f aca="false">1/(1+$C$18)^H13</f>
        <v>0.635517803061474</v>
      </c>
    </row>
    <row r="15" customFormat="false" ht="15" hidden="false" customHeight="false" outlineLevel="0" collapsed="false">
      <c r="B15" s="8" t="s">
        <v>62</v>
      </c>
      <c r="D15" s="22" t="n">
        <f aca="false">D11*D14</f>
        <v>998.538679331446</v>
      </c>
      <c r="E15" s="22" t="n">
        <f aca="false">E11*E14</f>
        <v>1117.42432789439</v>
      </c>
      <c r="F15" s="22" t="n">
        <f aca="false">F11*F14</f>
        <v>1207.57120697281</v>
      </c>
      <c r="G15" s="22" t="n">
        <f aca="false">G11*G14</f>
        <v>1251.81276389811</v>
      </c>
      <c r="H15" s="22" t="n">
        <f aca="false">H11*H14</f>
        <v>1269.92344996759</v>
      </c>
    </row>
    <row r="17" customFormat="false" ht="15" hidden="false" customHeight="false" outlineLevel="0" collapsed="false">
      <c r="B17" s="10" t="s">
        <v>63</v>
      </c>
    </row>
    <row r="18" customFormat="false" ht="15" hidden="false" customHeight="false" outlineLevel="0" collapsed="false">
      <c r="B18" s="8" t="s">
        <v>51</v>
      </c>
      <c r="C18" s="23" t="n">
        <f aca="false">WACC!C17</f>
        <v>0.0949</v>
      </c>
    </row>
    <row r="19" customFormat="false" ht="15" hidden="false" customHeight="false" outlineLevel="0" collapsed="false">
      <c r="B19" s="8" t="s">
        <v>64</v>
      </c>
      <c r="C19" s="13" t="n">
        <v>0.025</v>
      </c>
    </row>
    <row r="20" customFormat="false" ht="15" hidden="false" customHeight="false" outlineLevel="0" collapsed="false">
      <c r="B20" s="8" t="s">
        <v>65</v>
      </c>
      <c r="C20" s="24" t="n">
        <v>8</v>
      </c>
    </row>
    <row r="22" customFormat="false" ht="15" hidden="false" customHeight="false" outlineLevel="0" collapsed="false">
      <c r="B22" s="10" t="s">
        <v>66</v>
      </c>
      <c r="C22" s="25" t="s">
        <v>67</v>
      </c>
      <c r="E22" s="25" t="s">
        <v>68</v>
      </c>
    </row>
    <row r="23" customFormat="false" ht="15" hidden="false" customHeight="false" outlineLevel="0" collapsed="false">
      <c r="B23" s="8" t="s">
        <v>69</v>
      </c>
      <c r="C23" s="22" t="n">
        <f aca="false">SUM(D15:H15)</f>
        <v>5845.27042806433</v>
      </c>
      <c r="E23" s="22" t="n">
        <f aca="false">SUM(D15:H15)</f>
        <v>5845.27042806433</v>
      </c>
    </row>
    <row r="24" customFormat="false" ht="15" hidden="false" customHeight="false" outlineLevel="0" collapsed="false">
      <c r="B24" s="8" t="s">
        <v>70</v>
      </c>
      <c r="C24" s="22" t="n">
        <f aca="false">H11*(1+C19)/(C18-C19)</f>
        <v>29301.9492131617</v>
      </c>
      <c r="E24" s="19" t="n">
        <f aca="false">Forecast!H6*C20</f>
        <v>31019.2</v>
      </c>
    </row>
    <row r="25" customFormat="false" ht="15" hidden="false" customHeight="false" outlineLevel="0" collapsed="false">
      <c r="B25" s="8" t="s">
        <v>71</v>
      </c>
      <c r="C25" s="22" t="n">
        <f aca="false">C24*H14</f>
        <v>18621.9103893674</v>
      </c>
      <c r="E25" s="22" t="n">
        <f aca="false">E24*H14</f>
        <v>19713.2538367245</v>
      </c>
    </row>
    <row r="26" customFormat="false" ht="15" hidden="false" customHeight="false" outlineLevel="0" collapsed="false">
      <c r="B26" s="10" t="s">
        <v>72</v>
      </c>
      <c r="C26" s="11" t="n">
        <f aca="false">C23+C25</f>
        <v>24467.1808174317</v>
      </c>
      <c r="E26" s="11" t="n">
        <f aca="false">E23+E25</f>
        <v>25558.5242647888</v>
      </c>
    </row>
    <row r="27" customFormat="false" ht="15" hidden="false" customHeight="false" outlineLevel="0" collapsed="false">
      <c r="B27" s="8" t="s">
        <v>73</v>
      </c>
      <c r="C27" s="19" t="n">
        <f aca="false">-Forecast!C15</f>
        <v>-3000</v>
      </c>
      <c r="E27" s="19" t="n">
        <f aca="false">-Forecast!C15</f>
        <v>-3000</v>
      </c>
    </row>
    <row r="28" customFormat="false" ht="15" hidden="false" customHeight="false" outlineLevel="0" collapsed="false">
      <c r="B28" s="8" t="s">
        <v>74</v>
      </c>
      <c r="C28" s="19" t="n">
        <f aca="false">Forecast!C14</f>
        <v>908</v>
      </c>
      <c r="E28" s="19" t="n">
        <f aca="false">Forecast!C14</f>
        <v>908</v>
      </c>
    </row>
    <row r="29" customFormat="false" ht="15" hidden="false" customHeight="false" outlineLevel="0" collapsed="false">
      <c r="B29" s="10" t="s">
        <v>75</v>
      </c>
      <c r="C29" s="11" t="n">
        <f aca="false">SUM(C26:C28)</f>
        <v>22375.1808174317</v>
      </c>
      <c r="E29" s="11" t="n">
        <f aca="false">SUM(E26:E28)</f>
        <v>23466.5242647888</v>
      </c>
    </row>
    <row r="30" customFormat="false" ht="15" hidden="false" customHeight="false" outlineLevel="0" collapsed="false">
      <c r="B30" s="10" t="s">
        <v>76</v>
      </c>
      <c r="C30" s="26" t="n">
        <f aca="false">C29/Forecast!C16</f>
        <v>22.3751808174317</v>
      </c>
      <c r="E30" s="26" t="n">
        <f aca="false">E29/Forecast!C16</f>
        <v>23.4665242647888</v>
      </c>
    </row>
    <row r="32" customFormat="false" ht="15" hidden="false" customHeight="false" outlineLevel="0" collapsed="false">
      <c r="B32" s="8" t="s">
        <v>77</v>
      </c>
      <c r="C32" s="17" t="n">
        <f aca="false">C25/C26</f>
        <v>0.761097509693481</v>
      </c>
      <c r="E32" s="17" t="n">
        <f aca="false">E25/E26</f>
        <v>0.771298594257369</v>
      </c>
    </row>
    <row r="33" customFormat="false" ht="15" hidden="false" customHeight="false" outlineLevel="0" collapsed="false">
      <c r="B33" s="8" t="s">
        <v>78</v>
      </c>
      <c r="C33" s="27" t="n">
        <f aca="false">C24/Forecast!H6</f>
        <v>7.5571128109459</v>
      </c>
      <c r="E33" s="17" t="n">
        <f aca="false">(E24*C18-H11)/(E24+H11)</f>
        <v>0.028635526971344</v>
      </c>
    </row>
    <row r="35" customFormat="false" ht="15" hidden="false" customHeight="false" outlineLevel="0" collapsed="false">
      <c r="B35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7" min="3" style="0" width="12"/>
  </cols>
  <sheetData>
    <row r="1" customFormat="false" ht="17.35" hidden="false" customHeight="false" outlineLevel="0" collapsed="false">
      <c r="B1" s="5" t="s">
        <v>80</v>
      </c>
    </row>
    <row r="2" customFormat="false" ht="15" hidden="false" customHeight="false" outlineLevel="0" collapsed="false">
      <c r="B2" s="2" t="s">
        <v>81</v>
      </c>
    </row>
    <row r="4" customFormat="false" ht="15" hidden="false" customHeight="false" outlineLevel="0" collapsed="false">
      <c r="B4" s="10" t="s">
        <v>82</v>
      </c>
      <c r="C4" s="28" t="n">
        <f aca="false">DCF!$C$19+(-0.01)</f>
        <v>0.015</v>
      </c>
      <c r="D4" s="28" t="n">
        <f aca="false">DCF!$C$19+(-0.005)</f>
        <v>0.02</v>
      </c>
      <c r="E4" s="28" t="n">
        <f aca="false">DCF!$C$19+(0)</f>
        <v>0.025</v>
      </c>
      <c r="F4" s="28" t="n">
        <f aca="false">DCF!$C$19+(0.005)</f>
        <v>0.03</v>
      </c>
      <c r="G4" s="28" t="n">
        <f aca="false">DCF!$C$19+(0.01)</f>
        <v>0.035</v>
      </c>
    </row>
    <row r="5" customFormat="false" ht="15" hidden="false" customHeight="false" outlineLevel="0" collapsed="false">
      <c r="B5" s="28" t="n">
        <f aca="false">DCF!$C$18+(-0.01)</f>
        <v>0.0849</v>
      </c>
      <c r="C5" s="29" t="n">
        <f aca="false">(SUMPRODUCT(DCF!$D$11:$H$11/(1+$B5)^DCF!$D$13:$H$13)+DCF!$H$11*(1+C$4)/($B5-C$4)/(1+$B5)^DCF!$H$13-Forecast!$C$15+Forecast!$C$14)/Forecast!$C$16</f>
        <v>23.2291860317595</v>
      </c>
      <c r="D5" s="29" t="n">
        <f aca="false">(SUMPRODUCT(DCF!$D$11:$H$11/(1+$B5)^DCF!$D$13:$H$13)+DCF!$H$11*(1+D$4)/($B5-D$4)/(1+$B5)^DCF!$H$13-Forecast!$C$15+Forecast!$C$14)/Forecast!$C$16</f>
        <v>24.8189736734154</v>
      </c>
      <c r="E5" s="29" t="n">
        <f aca="false">(SUMPRODUCT(DCF!$D$11:$H$11/(1+$B5)^DCF!$D$13:$H$13)+DCF!$H$11*(1+E$4)/($B5-E$4)/(1+$B5)^DCF!$H$13-Forecast!$C$15+Forecast!$C$14)/Forecast!$C$16</f>
        <v>26.6741682669336</v>
      </c>
      <c r="F5" s="29" t="n">
        <f aca="false">(SUMPRODUCT(DCF!$D$11:$H$11/(1+$B5)^DCF!$D$13:$H$13)+DCF!$H$11*(1+F$4)/($B5-F$4)/(1+$B5)^DCF!$H$13-Forecast!$C$15+Forecast!$C$14)/Forecast!$C$16</f>
        <v>28.8672853729323</v>
      </c>
      <c r="G5" s="29" t="n">
        <f aca="false">(SUMPRODUCT(DCF!$D$11:$H$11/(1+$B5)^DCF!$D$13:$H$13)+DCF!$H$11*(1+G$4)/($B5-G$4)/(1+$B5)^DCF!$H$13-Forecast!$C$15+Forecast!$C$14)/Forecast!$C$16</f>
        <v>31.499904904983</v>
      </c>
    </row>
    <row r="6" customFormat="false" ht="15" hidden="false" customHeight="false" outlineLevel="0" collapsed="false">
      <c r="B6" s="28" t="n">
        <f aca="false">DCF!$C$18+(-0.005)</f>
        <v>0.0899</v>
      </c>
      <c r="C6" s="29" t="n">
        <f aca="false">(SUMPRODUCT(DCF!$D$11:$H$11/(1+$B6)^DCF!$D$13:$H$13)+DCF!$H$11*(1+C$4)/($B6-C$4)/(1+$B6)^DCF!$H$13-Forecast!$C$15+Forecast!$C$14)/Forecast!$C$16</f>
        <v>21.4449758772206</v>
      </c>
      <c r="D6" s="29" t="n">
        <f aca="false">(SUMPRODUCT(DCF!$D$11:$H$11/(1+$B6)^DCF!$D$13:$H$13)+DCF!$H$11*(1+D$4)/($B6-D$4)/(1+$B6)^DCF!$H$13-Forecast!$C$15+Forecast!$C$14)/Forecast!$C$16</f>
        <v>22.7974040908417</v>
      </c>
      <c r="E6" s="29" t="n">
        <f aca="false">(SUMPRODUCT(DCF!$D$11:$H$11/(1+$B6)^DCF!$D$13:$H$13)+DCF!$H$11*(1+E$4)/($B6-E$4)/(1+$B6)^DCF!$H$13-Forecast!$C$15+Forecast!$C$14)/Forecast!$C$16</f>
        <v>24.3582187780562</v>
      </c>
      <c r="F6" s="29" t="n">
        <f aca="false">(SUMPRODUCT(DCF!$D$11:$H$11/(1+$B6)^DCF!$D$13:$H$13)+DCF!$H$11*(1+F$4)/($B6-F$4)/(1+$B6)^DCF!$H$13-Forecast!$C$15+Forecast!$C$14)/Forecast!$C$16</f>
        <v>26.1796035299142</v>
      </c>
      <c r="G6" s="29" t="n">
        <f aca="false">(SUMPRODUCT(DCF!$D$11:$H$11/(1+$B6)^DCF!$D$13:$H$13)+DCF!$H$11*(1+G$4)/($B6-G$4)/(1+$B6)^DCF!$H$13-Forecast!$C$15+Forecast!$C$14)/Forecast!$C$16</f>
        <v>28.3327523531488</v>
      </c>
    </row>
    <row r="7" customFormat="false" ht="15" hidden="false" customHeight="false" outlineLevel="0" collapsed="false">
      <c r="B7" s="28" t="n">
        <f aca="false">DCF!$C$18+(0)</f>
        <v>0.0949</v>
      </c>
      <c r="C7" s="29" t="n">
        <f aca="false">(SUMPRODUCT(DCF!$D$11:$H$11/(1+$B7)^DCF!$D$13:$H$13)+DCF!$H$11*(1+C$4)/($B7-C$4)/(1+$B7)^DCF!$H$13-Forecast!$C$15+Forecast!$C$14)/Forecast!$C$16</f>
        <v>19.8855895984912</v>
      </c>
      <c r="D7" s="29" t="n">
        <f aca="false">(SUMPRODUCT(DCF!$D$11:$H$11/(1+$B7)^DCF!$D$13:$H$13)+DCF!$H$11*(1+D$4)/($B7-D$4)/(1+$B7)^DCF!$H$13-Forecast!$C$15+Forecast!$C$14)/Forecast!$C$16</f>
        <v>21.0472880377698</v>
      </c>
      <c r="E7" s="30" t="n">
        <f aca="false">(SUMPRODUCT(DCF!$D$11:$H$11/(1+$B7)^DCF!$D$13:$H$13)+DCF!$H$11*(1+E$4)/($B7-E$4)/(1+$B7)^DCF!$H$13-Forecast!$C$15+Forecast!$C$14)/Forecast!$C$16</f>
        <v>22.3751808174317</v>
      </c>
      <c r="F7" s="29" t="n">
        <f aca="false">(SUMPRODUCT(DCF!$D$11:$H$11/(1+$B7)^DCF!$D$13:$H$13)+DCF!$H$11*(1+F$4)/($B7-F$4)/(1+$B7)^DCF!$H$13-Forecast!$C$15+Forecast!$C$14)/Forecast!$C$16</f>
        <v>23.9076795723882</v>
      </c>
      <c r="G7" s="29" t="n">
        <f aca="false">(SUMPRODUCT(DCF!$D$11:$H$11/(1+$B7)^DCF!$D$13:$H$13)+DCF!$H$11*(1+G$4)/($B7-G$4)/(1+$B7)^DCF!$H$13-Forecast!$C$15+Forecast!$C$14)/Forecast!$C$16</f>
        <v>25.6960211912773</v>
      </c>
    </row>
    <row r="8" customFormat="false" ht="15" hidden="false" customHeight="false" outlineLevel="0" collapsed="false">
      <c r="B8" s="28" t="n">
        <f aca="false">DCF!$C$18+(0.005)</f>
        <v>0.0999</v>
      </c>
      <c r="C8" s="29" t="n">
        <f aca="false">(SUMPRODUCT(DCF!$D$11:$H$11/(1+$B8)^DCF!$D$13:$H$13)+DCF!$H$11*(1+C$4)/($B8-C$4)/(1+$B8)^DCF!$H$13-Forecast!$C$15+Forecast!$C$14)/Forecast!$C$16</f>
        <v>18.5112728329146</v>
      </c>
      <c r="D8" s="29" t="n">
        <f aca="false">(SUMPRODUCT(DCF!$D$11:$H$11/(1+$B8)^DCF!$D$13:$H$13)+DCF!$H$11*(1+D$4)/($B8-D$4)/(1+$B8)^DCF!$H$13-Forecast!$C$15+Forecast!$C$14)/Forecast!$C$16</f>
        <v>19.5176309369148</v>
      </c>
      <c r="E8" s="29" t="n">
        <f aca="false">(SUMPRODUCT(DCF!$D$11:$H$11/(1+$B8)^DCF!$D$13:$H$13)+DCF!$H$11*(1+E$4)/($B8-E$4)/(1+$B8)^DCF!$H$13-Forecast!$C$15+Forecast!$C$14)/Forecast!$C$16</f>
        <v>20.6583492684184</v>
      </c>
      <c r="F8" s="29" t="n">
        <f aca="false">(SUMPRODUCT(DCF!$D$11:$H$11/(1+$B8)^DCF!$D$13:$H$13)+DCF!$H$11*(1+F$4)/($B8-F$4)/(1+$B8)^DCF!$H$13-Forecast!$C$15+Forecast!$C$14)/Forecast!$C$16</f>
        <v>21.9622604942716</v>
      </c>
      <c r="G8" s="29" t="n">
        <f aca="false">(SUMPRODUCT(DCF!$D$11:$H$11/(1+$B8)^DCF!$D$13:$H$13)+DCF!$H$11*(1+G$4)/($B8-G$4)/(1+$B8)^DCF!$H$13-Forecast!$C$15+Forecast!$C$14)/Forecast!$C$16</f>
        <v>23.4670825407492</v>
      </c>
    </row>
    <row r="9" customFormat="false" ht="15" hidden="false" customHeight="false" outlineLevel="0" collapsed="false">
      <c r="B9" s="28" t="n">
        <f aca="false">DCF!$C$18+(0.01)</f>
        <v>0.1049</v>
      </c>
      <c r="C9" s="29" t="n">
        <f aca="false">(SUMPRODUCT(DCF!$D$11:$H$11/(1+$B9)^DCF!$D$13:$H$13)+DCF!$H$11*(1+C$4)/($B9-C$4)/(1+$B9)^DCF!$H$13-Forecast!$C$15+Forecast!$C$14)/Forecast!$C$16</f>
        <v>17.2911162205446</v>
      </c>
      <c r="D9" s="29" t="n">
        <f aca="false">(SUMPRODUCT(DCF!$D$11:$H$11/(1+$B9)^DCF!$D$13:$H$13)+DCF!$H$11*(1+D$4)/($B9-D$4)/(1+$B9)^DCF!$H$13-Forecast!$C$15+Forecast!$C$14)/Forecast!$C$16</f>
        <v>18.1694519502136</v>
      </c>
      <c r="E9" s="29" t="n">
        <f aca="false">(SUMPRODUCT(DCF!$D$11:$H$11/(1+$B9)^DCF!$D$13:$H$13)+DCF!$H$11*(1+E$4)/($B9-E$4)/(1+$B9)^DCF!$H$13-Forecast!$C$15+Forecast!$C$14)/Forecast!$C$16</f>
        <v>19.1577170578137</v>
      </c>
      <c r="F9" s="29" t="n">
        <f aca="false">(SUMPRODUCT(DCF!$D$11:$H$11/(1+$B9)^DCF!$D$13:$H$13)+DCF!$H$11*(1+F$4)/($B9-F$4)/(1+$B9)^DCF!$H$13-Forecast!$C$15+Forecast!$C$14)/Forecast!$C$16</f>
        <v>20.2779267725699</v>
      </c>
      <c r="G9" s="29" t="n">
        <f aca="false">(SUMPRODUCT(DCF!$D$11:$H$11/(1+$B9)^DCF!$D$13:$H$13)+DCF!$H$11*(1+G$4)/($B9-G$4)/(1+$B9)^DCF!$H$13-Forecast!$C$15+Forecast!$C$14)/Forecast!$C$16</f>
        <v>21.5583953878635</v>
      </c>
    </row>
    <row r="11" customFormat="false" ht="15" hidden="false" customHeight="false" outlineLevel="0" collapsed="false">
      <c r="B11" s="2" t="s">
        <v>83</v>
      </c>
    </row>
    <row r="12" customFormat="false" ht="15" hidden="false" customHeight="false" outlineLevel="0" collapsed="false">
      <c r="B12" s="8" t="s">
        <v>84</v>
      </c>
      <c r="E12" s="29" t="n">
        <f aca="false">ROUND(E7-DCF!C30,6)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2"/>
  </cols>
  <sheetData>
    <row r="1" customFormat="false" ht="17.35" hidden="false" customHeight="false" outlineLevel="0" collapsed="false">
      <c r="B1" s="5" t="s">
        <v>85</v>
      </c>
    </row>
    <row r="2" customFormat="false" ht="15" hidden="false" customHeight="false" outlineLevel="0" collapsed="false">
      <c r="B2" s="2" t="s">
        <v>86</v>
      </c>
    </row>
    <row r="4" customFormat="false" ht="15" hidden="false" customHeight="false" outlineLevel="0" collapsed="false">
      <c r="B4" s="6"/>
      <c r="C4" s="7" t="s">
        <v>87</v>
      </c>
      <c r="D4" s="7" t="s">
        <v>88</v>
      </c>
      <c r="E4" s="7" t="s">
        <v>89</v>
      </c>
    </row>
    <row r="5" customFormat="false" ht="15" hidden="false" customHeight="false" outlineLevel="0" collapsed="false">
      <c r="B5" s="8" t="s">
        <v>90</v>
      </c>
      <c r="C5" s="31" t="n">
        <v>1.4</v>
      </c>
      <c r="D5" s="31" t="n">
        <v>8.5</v>
      </c>
      <c r="E5" s="31" t="n">
        <v>14.2</v>
      </c>
    </row>
    <row r="6" customFormat="false" ht="15" hidden="false" customHeight="false" outlineLevel="0" collapsed="false">
      <c r="B6" s="8" t="s">
        <v>91</v>
      </c>
      <c r="C6" s="31" t="n">
        <v>1.1</v>
      </c>
      <c r="D6" s="31" t="n">
        <v>7.2</v>
      </c>
      <c r="E6" s="31" t="n">
        <v>12.5</v>
      </c>
    </row>
    <row r="7" customFormat="false" ht="15" hidden="false" customHeight="false" outlineLevel="0" collapsed="false">
      <c r="B7" s="8" t="s">
        <v>92</v>
      </c>
      <c r="C7" s="31" t="n">
        <v>1.9</v>
      </c>
      <c r="D7" s="31" t="n">
        <v>9.8</v>
      </c>
      <c r="E7" s="31" t="n">
        <v>17</v>
      </c>
    </row>
    <row r="8" customFormat="false" ht="15" hidden="false" customHeight="false" outlineLevel="0" collapsed="false">
      <c r="B8" s="8" t="s">
        <v>93</v>
      </c>
      <c r="C8" s="31" t="n">
        <v>1</v>
      </c>
      <c r="D8" s="31" t="n">
        <v>6.9</v>
      </c>
      <c r="E8" s="31" t="n">
        <v>11.8</v>
      </c>
    </row>
    <row r="9" customFormat="false" ht="15" hidden="false" customHeight="false" outlineLevel="0" collapsed="false">
      <c r="B9" s="8" t="s">
        <v>94</v>
      </c>
      <c r="C9" s="31" t="n">
        <v>1.3</v>
      </c>
      <c r="D9" s="31" t="n">
        <v>8.1</v>
      </c>
      <c r="E9" s="31" t="n">
        <v>13.9</v>
      </c>
    </row>
    <row r="10" customFormat="false" ht="15" hidden="false" customHeight="false" outlineLevel="0" collapsed="false">
      <c r="B10" s="8" t="s">
        <v>95</v>
      </c>
      <c r="C10" s="31" t="n">
        <v>2.1</v>
      </c>
      <c r="D10" s="31" t="n">
        <v>10.4</v>
      </c>
      <c r="E10" s="31" t="n">
        <v>18.5</v>
      </c>
    </row>
    <row r="12" customFormat="false" ht="15" hidden="false" customHeight="false" outlineLevel="0" collapsed="false">
      <c r="B12" s="10" t="s">
        <v>96</v>
      </c>
      <c r="C12" s="32" t="n">
        <f aca="false">QUARTILE(C5:C10,1)</f>
        <v>1.15</v>
      </c>
      <c r="D12" s="32" t="n">
        <f aca="false">QUARTILE(D5:D10,1)</f>
        <v>7.425</v>
      </c>
      <c r="E12" s="32" t="n">
        <f aca="false">QUARTILE(E5:E10,1)</f>
        <v>12.85</v>
      </c>
    </row>
    <row r="13" customFormat="false" ht="15" hidden="false" customHeight="false" outlineLevel="0" collapsed="false">
      <c r="B13" s="10" t="s">
        <v>97</v>
      </c>
      <c r="C13" s="33" t="n">
        <f aca="false">MEDIAN(C5:C10)</f>
        <v>1.35</v>
      </c>
      <c r="D13" s="33" t="n">
        <f aca="false">MEDIAN(D5:D10)</f>
        <v>8.3</v>
      </c>
      <c r="E13" s="33" t="n">
        <f aca="false">MEDIAN(E5:E10)</f>
        <v>14.05</v>
      </c>
    </row>
    <row r="14" customFormat="false" ht="15" hidden="false" customHeight="false" outlineLevel="0" collapsed="false">
      <c r="B14" s="10" t="s">
        <v>98</v>
      </c>
      <c r="C14" s="33" t="n">
        <f aca="false">QUARTILE(C5:C10,3)</f>
        <v>1.775</v>
      </c>
      <c r="D14" s="33" t="n">
        <f aca="false">QUARTILE(D5:D10,3)</f>
        <v>9.475</v>
      </c>
      <c r="E14" s="33" t="n">
        <f aca="false">QUARTILE(E5:E10,3)</f>
        <v>16.3</v>
      </c>
    </row>
    <row r="16" customFormat="false" ht="15" hidden="false" customHeight="false" outlineLevel="0" collapsed="false">
      <c r="B16" s="10" t="s">
        <v>99</v>
      </c>
      <c r="C16" s="19" t="n">
        <f aca="false">Forecast!C5</f>
        <v>12000</v>
      </c>
      <c r="D16" s="19" t="n">
        <f aca="false">Forecast!C6</f>
        <v>2340</v>
      </c>
      <c r="E16" s="19" t="n">
        <f aca="false">Forecast!C11</f>
        <v>1155</v>
      </c>
    </row>
    <row r="18" customFormat="false" ht="15" hidden="false" customHeight="false" outlineLevel="0" collapsed="false">
      <c r="B18" s="10" t="s">
        <v>100</v>
      </c>
    </row>
    <row r="19" customFormat="false" ht="15" hidden="false" customHeight="false" outlineLevel="0" collapsed="false">
      <c r="B19" s="8" t="s">
        <v>101</v>
      </c>
      <c r="C19" s="29" t="n">
        <f aca="false">(C12*C$16-Forecast!$C$15+Forecast!$C$14)/Forecast!$C$16</f>
        <v>11.708</v>
      </c>
      <c r="D19" s="29" t="n">
        <f aca="false">(D12*D$16-Forecast!$C$15+Forecast!$C$14)/Forecast!$C$16</f>
        <v>15.2825</v>
      </c>
      <c r="E19" s="29" t="n">
        <f aca="false">E12*E$16/Forecast!$C$16</f>
        <v>14.84175</v>
      </c>
    </row>
    <row r="20" customFormat="false" ht="15" hidden="false" customHeight="false" outlineLevel="0" collapsed="false">
      <c r="B20" s="8" t="s">
        <v>102</v>
      </c>
      <c r="C20" s="29" t="n">
        <f aca="false">(C13*C$16-Forecast!$C$15+Forecast!$C$14)/Forecast!$C$16</f>
        <v>14.108</v>
      </c>
      <c r="D20" s="29" t="n">
        <f aca="false">(D13*D$16-Forecast!$C$15+Forecast!$C$14)/Forecast!$C$16</f>
        <v>17.33</v>
      </c>
      <c r="E20" s="29" t="n">
        <f aca="false">E13*E$16/Forecast!$C$16</f>
        <v>16.22775</v>
      </c>
    </row>
    <row r="21" customFormat="false" ht="15" hidden="false" customHeight="false" outlineLevel="0" collapsed="false">
      <c r="B21" s="8" t="s">
        <v>103</v>
      </c>
      <c r="C21" s="29" t="n">
        <f aca="false">(C14*C$16-Forecast!$C$15+Forecast!$C$14)/Forecast!$C$16</f>
        <v>19.208</v>
      </c>
      <c r="D21" s="29" t="n">
        <f aca="false">(D14*D$16-Forecast!$C$15+Forecast!$C$14)/Forecast!$C$16</f>
        <v>20.0795</v>
      </c>
      <c r="E21" s="29" t="n">
        <f aca="false">E14*E$16/Forecast!$C$16</f>
        <v>18.8265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2"/>
  </cols>
  <sheetData>
    <row r="1" customFormat="false" ht="17.35" hidden="false" customHeight="false" outlineLevel="0" collapsed="false">
      <c r="B1" s="5" t="s">
        <v>104</v>
      </c>
    </row>
    <row r="2" customFormat="false" ht="15" hidden="false" customHeight="false" outlineLevel="0" collapsed="false">
      <c r="B2" s="2" t="s">
        <v>105</v>
      </c>
    </row>
    <row r="4" customFormat="false" ht="15" hidden="false" customHeight="false" outlineLevel="0" collapsed="false">
      <c r="B4" s="6"/>
      <c r="C4" s="7" t="s">
        <v>106</v>
      </c>
      <c r="D4" s="7" t="s">
        <v>107</v>
      </c>
      <c r="E4" s="7" t="s">
        <v>108</v>
      </c>
      <c r="F4" s="7" t="s">
        <v>109</v>
      </c>
    </row>
    <row r="5" customFormat="false" ht="15" hidden="false" customHeight="false" outlineLevel="0" collapsed="false">
      <c r="B5" s="8" t="s">
        <v>110</v>
      </c>
      <c r="C5" s="29" t="n">
        <f aca="false">MIN(Sensitivity!C5:G9)</f>
        <v>17.2911162205446</v>
      </c>
      <c r="D5" s="29" t="n">
        <f aca="false">MAX(Sensitivity!C5:G9)</f>
        <v>31.499904904983</v>
      </c>
      <c r="E5" s="34" t="n">
        <f aca="false">D5-C5</f>
        <v>14.2087886844383</v>
      </c>
      <c r="F5" s="29" t="n">
        <f aca="false">DCF!C30</f>
        <v>22.3751808174317</v>
      </c>
    </row>
    <row r="6" customFormat="false" ht="15" hidden="false" customHeight="false" outlineLevel="0" collapsed="false">
      <c r="B6" s="8" t="s">
        <v>111</v>
      </c>
      <c r="C6" s="29" t="n">
        <f aca="false">(DCF!C23+(DCF!C20-1)*Forecast!H6*DCF!H14-Forecast!C15+Forecast!C14)/Forecast!C16</f>
        <v>21.0023675351982</v>
      </c>
      <c r="D6" s="29" t="n">
        <f aca="false">(DCF!C23+(DCF!C20+1)*Forecast!H6*DCF!H14-Forecast!C15+Forecast!C14)/Forecast!C16</f>
        <v>25.9306809943793</v>
      </c>
      <c r="E6" s="34" t="n">
        <f aca="false">D6-C6</f>
        <v>4.92831345918111</v>
      </c>
      <c r="F6" s="29" t="n">
        <f aca="false">DCF!E30</f>
        <v>23.4665242647888</v>
      </c>
    </row>
    <row r="7" customFormat="false" ht="15" hidden="false" customHeight="false" outlineLevel="0" collapsed="false">
      <c r="B7" s="8" t="s">
        <v>112</v>
      </c>
      <c r="C7" s="29" t="n">
        <f aca="false">Comps!D19</f>
        <v>15.2825</v>
      </c>
      <c r="D7" s="29" t="n">
        <f aca="false">Comps!D21</f>
        <v>20.0795</v>
      </c>
      <c r="E7" s="34" t="n">
        <f aca="false">D7-C7</f>
        <v>4.797</v>
      </c>
      <c r="F7" s="29" t="n">
        <f aca="false">Comps!D20</f>
        <v>17.33</v>
      </c>
    </row>
    <row r="8" customFormat="false" ht="15" hidden="false" customHeight="false" outlineLevel="0" collapsed="false">
      <c r="B8" s="8" t="s">
        <v>113</v>
      </c>
      <c r="C8" s="29" t="n">
        <f aca="false">Comps!C19</f>
        <v>11.708</v>
      </c>
      <c r="D8" s="29" t="n">
        <f aca="false">Comps!C21</f>
        <v>19.208</v>
      </c>
      <c r="E8" s="34" t="n">
        <f aca="false">D8-C8</f>
        <v>7.5</v>
      </c>
      <c r="F8" s="29" t="n">
        <f aca="false">Comps!C20</f>
        <v>14.108</v>
      </c>
    </row>
    <row r="9" customFormat="false" ht="15" hidden="false" customHeight="false" outlineLevel="0" collapsed="false">
      <c r="B9" s="8" t="s">
        <v>114</v>
      </c>
      <c r="C9" s="29" t="n">
        <f aca="false">Comps!E19</f>
        <v>14.84175</v>
      </c>
      <c r="D9" s="29" t="n">
        <f aca="false">Comps!E21</f>
        <v>18.8265</v>
      </c>
      <c r="E9" s="34" t="n">
        <f aca="false">D9-C9</f>
        <v>3.98475</v>
      </c>
      <c r="F9" s="29" t="n">
        <f aca="false">Comps!E20</f>
        <v>16.22775</v>
      </c>
    </row>
    <row r="11" customFormat="false" ht="15" hidden="false" customHeight="false" outlineLevel="0" collapsed="false">
      <c r="B11" s="10" t="s">
        <v>115</v>
      </c>
      <c r="C11" s="35" t="n">
        <f aca="false">AVERAGE(C5:C9)</f>
        <v>16.0251467511486</v>
      </c>
      <c r="D11" s="35" t="n">
        <f aca="false">AVERAGE(D5:D9)</f>
        <v>23.1089171798725</v>
      </c>
      <c r="F11" s="36" t="n">
        <f aca="false">(C11+D11)/2</f>
        <v>19.5670319655105</v>
      </c>
    </row>
    <row r="13" customFormat="false" ht="15" hidden="false" customHeight="false" outlineLevel="0" collapsed="false">
      <c r="B13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2026-10-18T19:52:54Z</dcterms:created>
  <dc:creator>openpyxl</dc:creator>
  <dc:description/>
  <dc:language>en-US</dc:language>
  <cp:lastModifiedBy/>
  <dcterms:modified xsi:type="dcterms:W3CDTF">2026-10-18T19:52:56Z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