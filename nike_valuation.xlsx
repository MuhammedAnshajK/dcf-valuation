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Forecast" sheetId="3" state="visible" r:id="rId5"/>
    <sheet name="WACC" sheetId="4" state="visible" r:id="rId6"/>
    <sheet name="DCF" sheetId="5" state="visible" r:id="rId7"/>
    <sheet name="Sensitivity" sheetId="6" state="visible" r:id="rId8"/>
    <sheet name="Com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<sst xmlns="http://schemas.openxmlformats.org/spreadsheetml/2006/main" count="146" uniqueCount="133">
  <si>
    <t xml:space="preserve">NIKE, Inc.: DCF &amp; Comparable Companies Valuation</t>
  </si>
  <si>
    <t xml:space="preserve">Valuation date 19 Oct 2026 | share price $37.21 | $ millions unless stated</t>
  </si>
  <si>
    <t xml:space="preserve">Purpose</t>
  </si>
  <si>
    <t xml:space="preserve">Values Nike three ways (DCF with perpetuity growth, DCF with an exit multiple, and trading comparables) and compares them with the share price on one football field chart.</t>
  </si>
  <si>
    <t xml:space="preserve">Data</t>
  </si>
  <si>
    <t xml:space="preserve">Cash flows from the base case of the Nike five-year forecast (github.com/MuhammedAnshajK/three-statement-model), whose FY2027 matches Nike's guidance of 1 Oct 2026. Share price, beta and peer multiples from stockanalysis.com at 19 Oct 2026; 10-year Treasury yield from YCharts (16 Oct 2026). Net debt from the 31 May 2026 balance sheet (10-K).</t>
  </si>
  <si>
    <t xml:space="preserve">How to use</t>
  </si>
  <si>
    <t xml:space="preserve">Change the blue or yellow cells on the WACC, DCF and Comps sheets. Everything else is a formula.</t>
  </si>
  <si>
    <t xml:space="preserve">Sheets</t>
  </si>
  <si>
    <t xml:space="preserve">Summary &gt; Forecast &gt; WACC &gt; DCF &gt; Sensitivity &gt; Comps</t>
  </si>
  <si>
    <t xml:space="preserve">Colour key</t>
  </si>
  <si>
    <t xml:space="preserve">Blue = hardcoded input | Black = formula | Green = link to another sheet | Yellow fill = key assumption</t>
  </si>
  <si>
    <t xml:space="preserve">Note</t>
  </si>
  <si>
    <t xml:space="preserve">A learning project, not investment advice.</t>
  </si>
  <si>
    <t xml:space="preserve">Author</t>
  </si>
  <si>
    <t xml:space="preserve">Muhammed Anshaj K</t>
  </si>
  <si>
    <t xml:space="preserve">Valuation summary</t>
  </si>
  <si>
    <t xml:space="preserve">Value per share ($) | the bars in the chart run from low to high</t>
  </si>
  <si>
    <t xml:space="preserve">Low</t>
  </si>
  <si>
    <t xml:space="preserve">High</t>
  </si>
  <si>
    <t xml:space="preserve">Range</t>
  </si>
  <si>
    <t xml:space="preserve">Base</t>
  </si>
  <si>
    <t xml:space="preserve">DCF: perpetuity growth (sensitivity)</t>
  </si>
  <si>
    <t xml:space="preserve">DCF: exit multiple (9.0x to 11.0x)</t>
  </si>
  <si>
    <t xml:space="preserve">Comps: EV / EBITDA (25th to 75th pct)</t>
  </si>
  <si>
    <t xml:space="preserve">Comps: EV / Revenue (25th to 75th pct)</t>
  </si>
  <si>
    <t xml:space="preserve">Comps: forward P / E (25th to 75th pct)</t>
  </si>
  <si>
    <t xml:space="preserve">52-week trading range</t>
  </si>
  <si>
    <t xml:space="preserve">Current share price (19 Oct 2026)</t>
  </si>
  <si>
    <t xml:space="preserve">DCF midpoint (perpetuity and exit multiple)</t>
  </si>
  <si>
    <t xml:space="preserve">Upside / (downside) to share price</t>
  </si>
  <si>
    <t xml:space="preserve">Base column: DCF base cases, comps at the median, and the current price for the trading range.</t>
  </si>
  <si>
    <t xml:space="preserve">Forward P/E gives a low value because FY2027 earnings are temporarily depressed; the DCF captures the recovery.</t>
  </si>
  <si>
    <t xml:space="preserve">Forecast inputs</t>
  </si>
  <si>
    <t xml:space="preserve">NIKE, Inc. | $ millions unless stated | market data at 19 Oct 2026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</si>
  <si>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</si>
  <si>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</si>
  <si>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</si>
  <si>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</si>
  <si>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</si>
  <si>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</si>
  <si>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</t>
  </si>
  <si>
    <t xml:space="preserve">EBITDA</t>
  </si>
  <si>
    <t xml:space="preserve">Depreciation &amp; amortisation</t>
  </si>
  <si>
    <t xml:space="preserve">EBIT</t>
  </si>
  <si>
    <t xml:space="preserve">Capital expenditure</t>
  </si>
  <si>
    <t xml:space="preserve">Operating working capital (AR + inventory + prepaid - AP - accrued)</t>
  </si>
  <si>
    <t xml:space="preserve">Diluted EPS ($)</t>
  </si>
  <si>
    <t xml:space="preserve">Balance sheet at 31 May 2026 and market data</t>
  </si>
  <si>
    <t xml:space="preserve">Cash and short-term investments</t>
  </si>
  <si>
    <t xml:space="preserve">Debt (excluding leases)</t>
  </si>
  <si>
    <t xml:space="preserve">Shares outstanding (m)</t>
  </si>
  <si>
    <t xml:space="preserve">Share price at 19 Oct 2026 ($)</t>
  </si>
  <si>
    <t xml:space="preserve">Market capitalisation</t>
  </si>
  <si>
    <t xml:space="preserve">52-week low / high ($)</t>
  </si>
  <si>
    <t xml:space="preserve">Revenue, EBITDA, D&amp;A, capex, working capital and EPS: base case of the Nike forecast model (rounded to 0.1). FY2026A EPS is reported diluted EPS.</t>
  </si>
  <si>
    <t xml:space="preserve">Shares: market cap $55.27bn / $37.21 (stockanalysis.com). Debt and cash: Nike 10-K, 31 May 2026.</t>
  </si>
  <si>
    <t xml:space="preserve">Discount rate (WACC)</t>
  </si>
  <si>
    <t xml:space="preserve">Risk-free rate</t>
  </si>
  <si>
    <t xml:space="preserve">US 10-year Treasury yield, 16 Oct 2026 (YCharts)</t>
  </si>
  <si>
    <t xml:space="preserve">Equity risk premium</t>
  </si>
  <si>
    <t xml:space="preserve">Assumption, within the common 4% to 6% range</t>
  </si>
  <si>
    <t xml:space="preserve">Beta (levered)</t>
  </si>
  <si>
    <t xml:space="preserve">Nike 5-year beta (stockanalysis.com)</t>
  </si>
  <si>
    <t xml:space="preserve">Cost of equity (CAPM)</t>
  </si>
  <si>
    <t xml:space="preserve">Risk-free + beta x equity risk premium</t>
  </si>
  <si>
    <t xml:space="preserve">Pre-tax cost of debt</t>
  </si>
  <si>
    <t xml:space="preserve">Risk-free rate plus about 0.8% for an A-rated issuer</t>
  </si>
  <si>
    <t xml:space="preserve">Tax rate</t>
  </si>
  <si>
    <t xml:space="preserve">Matches the forecast tax rate</t>
  </si>
  <si>
    <t xml:space="preserve">After-tax cost of debt</t>
  </si>
  <si>
    <t xml:space="preserve">Debt / (debt + equity)</t>
  </si>
  <si>
    <t xml:space="preserve">Market-value weights: debt $7.9bn, market cap $55.3bn</t>
  </si>
  <si>
    <t xml:space="preserve">Equity / (debt + equity)</t>
  </si>
  <si>
    <t xml:space="preserve">WACC</t>
  </si>
  <si>
    <t xml:space="preserve">Weighted average cost of capital</t>
  </si>
  <si>
    <t xml:space="preserve">Discounted cash flow</t>
  </si>
  <si>
    <t xml:space="preserve">Less: tax on EBIT</t>
  </si>
  <si>
    <t xml:space="preserve">NOPAT</t>
  </si>
  <si>
    <t xml:space="preserve">Add: depreciation &amp; amortisation</t>
  </si>
  <si>
    <t xml:space="preserve">Less: capital expenditure</t>
  </si>
  <si>
    <t xml:space="preserve">Less: increase in working capital</t>
  </si>
  <si>
    <t xml:space="preserve">Unlevered free cash flow</t>
  </si>
  <si>
    <t xml:space="preserve">Discount period (years)</t>
  </si>
  <si>
    <t xml:space="preserve">Discount factor</t>
  </si>
  <si>
    <t xml:space="preserve">Present value of free cash flow</t>
  </si>
  <si>
    <t xml:space="preserve">Assumptions</t>
  </si>
  <si>
    <t xml:space="preserve">Terminal growth rate</t>
  </si>
  <si>
    <t xml:space="preserve">Exit EV / EBITDA multiple</t>
  </si>
  <si>
    <t xml:space="preserve">Valuation</t>
  </si>
  <si>
    <t xml:space="preserve">Perpetuity</t>
  </si>
  <si>
    <t xml:space="preserve">Exit multiple</t>
  </si>
  <si>
    <t xml:space="preserve">Sum of PV of free cash flows</t>
  </si>
  <si>
    <t xml:space="preserve">Terminal value (FY2031)</t>
  </si>
  <si>
    <t xml:space="preserve">PV of terminal value</t>
  </si>
  <si>
    <t xml:space="preserve">Enterprise value</t>
  </si>
  <si>
    <t xml:space="preserve">Less: debt</t>
  </si>
  <si>
    <t xml:space="preserve">Add: cash</t>
  </si>
  <si>
    <t xml:space="preserve">Equity value</t>
  </si>
  <si>
    <t xml:space="preserve">Value per share ($)</t>
  </si>
  <si>
    <t xml:space="preserve">Terminal value as % of EV</t>
  </si>
  <si>
    <t xml:space="preserve">Implied exit multiple / implied growth</t>
  </si>
  <si>
    <t xml:space="preserve">Cash flows are discounted to 19 Oct 2026 at each 31 May year end (0.61 years to the FY2027 year end).</t>
  </si>
  <si>
    <t xml:space="preserve">FY2027 is counted in full, a small simplification. Share-based pay is treated as a real cost (not added back).</t>
  </si>
  <si>
    <t xml:space="preserve">Terminal value uses FY2031 free cash flow grown one year.</t>
  </si>
  <si>
    <t xml:space="preserve">Sensitivity: value per share ($)</t>
  </si>
  <si>
    <t xml:space="preserve">Perpetuity growth method | WACC down the side, terminal growth across the top | share price $37.21</t>
  </si>
  <si>
    <t xml:space="preserve">WACC \ growth</t>
  </si>
  <si>
    <t xml:space="preserve">Centre cell (yellow) equals the base case on the DCF sheet.</t>
  </si>
  <si>
    <t xml:space="preserve">Check: centre less DCF value per share</t>
  </si>
  <si>
    <t xml:space="preserve">Trading comparables</t>
  </si>
  <si>
    <t xml:space="preserve">Athletic footwear and apparel peers | stockanalysis.com, 19 Oct 2026 (Puma 7 Oct) | n.m. = not meaningful</t>
  </si>
  <si>
    <t xml:space="preserve">EV / Revenue</t>
  </si>
  <si>
    <t xml:space="preserve">EV / EBITDA</t>
  </si>
  <si>
    <t xml:space="preserve">Forward P / E</t>
  </si>
  <si>
    <t xml:space="preserve">adidas (Germany)</t>
  </si>
  <si>
    <t xml:space="preserve">Puma (Germany)</t>
  </si>
  <si>
    <t xml:space="preserve">n.m.</t>
  </si>
  <si>
    <t xml:space="preserve">Lululemon (US)</t>
  </si>
  <si>
    <t xml:space="preserve">Deckers Outdoor (US)</t>
  </si>
  <si>
    <t xml:space="preserve">On Holding (Switzerland)</t>
  </si>
  <si>
    <t xml:space="preserve">Under Armour (US)</t>
  </si>
  <si>
    <t xml:space="preserve">25th percentile</t>
  </si>
  <si>
    <t xml:space="preserve">Median</t>
  </si>
  <si>
    <t xml:space="preserve">75th percentile</t>
  </si>
  <si>
    <t xml:space="preserve">Nike today (for reference)</t>
  </si>
  <si>
    <t xml:space="preserve">Nike metric</t>
  </si>
  <si>
    <t xml:space="preserve">Revenue and EBITDA: last twelve months to Aug 2026 (stockanalysis.com). EPS: midpoint of FY2027 guidance ($1.15 to $1.35, adjusted).</t>
  </si>
  <si>
    <t xml:space="preserve">Implied value per share ($)</t>
  </si>
  <si>
    <t xml:space="preserve">At 25th percentile</t>
  </si>
  <si>
    <t xml:space="preserve">At median</t>
  </si>
  <si>
    <t xml:space="preserve">At 75th percentile</t>
  </si>
  <si>
    <t xml:space="preserve">Puma's EBITDA is negative and its earnings and Under Armour's are loss-making or near zero, so those multiples are excluded (n.m.).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</si>
</sst>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\$#,##0"/>
    <numFmt numFmtId="168" formatCode="#,##0;\(#,##0\);\-"/>
    <numFmt numFmtId="169" formatCode="0.00"/>
    <numFmt numFmtId="170" formatCode="0.000"/>
    <numFmt numFmtId="171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field: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Summary!$B$5:$B$10</c:f>
              <c:strCache>
                <c:ptCount val="6"/>
                <c:pt idx="0">
                  <c:v>DCF: perpetuity growth (sensitivity)</c:v>
                </c:pt>
                <c:pt idx="1">
                  <c:v>DCF: exit multiple (9.0x to 11.0x)</c:v>
                </c:pt>
                <c:pt idx="2">
                  <c:v>Comps: EV / EBITDA (25th to 75th pct)</c:v>
                </c:pt>
                <c:pt idx="3">
                  <c:v>Comps: EV / Revenue (25th to 75th pct)</c:v>
                </c:pt>
                <c:pt idx="4">
                  <c:v>Comps: forward P / E (25th to 75th pct)</c:v>
                </c:pt>
                <c:pt idx="5">
                  <c:v>52-week trading range</c:v>
                </c:pt>
              </c:strCache>
            </c:strRef>
          </c:cat>
          <c:val>
            <c:numRef>
              <c:f>Summary!$C$5:$C$10</c:f>
              <c:numCache>
                <c:formatCode>\$#,##0.00;"($"#,##0.00\);\-</c:formatCode>
                <c:ptCount val="6"/>
                <c:pt idx="0">
                  <c:v>29.7515510204479</c:v>
                </c:pt>
                <c:pt idx="1">
                  <c:v>33.9070418548512</c:v>
                </c:pt>
                <c:pt idx="2">
                  <c:v>27.5021548821549</c:v>
                </c:pt>
                <c:pt idx="3">
                  <c:v>27.074898989899</c:v>
                </c:pt>
                <c:pt idx="4">
                  <c:v>14.56875</c:v>
                </c:pt>
                <c:pt idx="5">
                  <c:v>31.97</c:v>
                </c:pt>
              </c:numCache>
            </c:numRef>
          </c:val>
        </c:ser>
        <c:ser>
          <c:idx val="1"/>
          <c:order val="1"/>
          <c:tx>
            <c:strRef>
              <c:f>Summary!E4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Summary!$B$5:$B$10</c:f>
              <c:strCache>
                <c:ptCount val="6"/>
                <c:pt idx="0">
                  <c:v>DCF: perpetuity growth (sensitivity)</c:v>
                </c:pt>
                <c:pt idx="1">
                  <c:v>DCF: exit multiple (9.0x to 11.0x)</c:v>
                </c:pt>
                <c:pt idx="2">
                  <c:v>Comps: EV / EBITDA (25th to 75th pct)</c:v>
                </c:pt>
                <c:pt idx="3">
                  <c:v>Comps: EV / Revenue (25th to 75th pct)</c:v>
                </c:pt>
                <c:pt idx="4">
                  <c:v>Comps: forward P / E (25th to 75th pct)</c:v>
                </c:pt>
                <c:pt idx="5">
                  <c:v>52-week trading range</c:v>
                </c:pt>
              </c:strCache>
            </c:strRef>
          </c:cat>
          <c:val>
            <c:numRef>
              <c:f>Summary!$E$5:$E$10</c:f>
              <c:numCache>
                <c:formatCode>\$#,##0.00;"($"#,##0.00\);\-</c:formatCode>
                <c:ptCount val="6"/>
                <c:pt idx="0">
                  <c:v>21.4308345181774</c:v>
                </c:pt>
                <c:pt idx="1">
                  <c:v>5.44737603797525</c:v>
                </c:pt>
                <c:pt idx="2">
                  <c:v>30.6571717171717</c:v>
                </c:pt>
                <c:pt idx="3">
                  <c:v>28.4301683501683</c:v>
                </c:pt>
                <c:pt idx="4">
                  <c:v>5.634375</c:v>
                </c:pt>
                <c:pt idx="5">
                  <c:v>38.47</c:v>
                </c:pt>
              </c:numCache>
            </c:numRef>
          </c:val>
        </c:ser>
        <c:gapWidth val="150"/>
        <c:overlap val="100"/>
        <c:axId val="61202619"/>
        <c:axId val="66292820"/>
      </c:barChart>
      <c:catAx>
        <c:axId val="612026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92820"/>
        <c:crosses val="autoZero"/>
        <c:auto val="1"/>
        <c:lblAlgn val="ctr"/>
        <c:lblOffset val="100"/>
        <c:noMultiLvlLbl val="0"/>
      </c:catAx>
      <c:valAx>
        <c:axId val="6629282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02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160560</xdr:rowOff>
    </xdr:from>
    <xdr:to>
      <xdr:col>9</xdr:col>
      <xdr:colOff>305640</xdr:colOff>
      <xdr:row>34</xdr:row>
      <xdr:rowOff>161640</xdr:rowOff>
    </xdr:to>
    <xdr:graphicFrame>
      <xdr:nvGraphicFramePr>
        <xdr:cNvPr id="0" name="Chart 1"/>
        <xdr:cNvGraphicFramePr/>
      </xdr:nvGraphicFramePr>
      <xdr:xfrm>
        <a:off x="141120" y="3429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46.2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2"/>
  </cols>
  <sheetData>
    <row r="1" customFormat="false" ht="17.35" hidden="false" customHeight="false" outlineLevel="0" collapsed="false">
      <c r="B1" s="5" t="s">
        <v>16</v>
      </c>
    </row>
    <row r="2" customFormat="false" ht="15" hidden="false" customHeight="false" outlineLevel="0" collapsed="false">
      <c r="B2" s="2" t="s">
        <v>17</v>
      </c>
    </row>
    <row r="4" customFormat="false" ht="15" hidden="false" customHeight="false" outlineLevel="0" collapsed="false">
      <c r="B4" s="6"/>
      <c r="C4" s="7" t="s">
        <v>18</v>
      </c>
      <c r="D4" s="7" t="s">
        <v>19</v>
      </c>
      <c r="E4" s="7" t="s">
        <v>20</v>
      </c>
      <c r="F4" s="7" t="s">
        <v>21</v>
      </c>
    </row>
    <row r="5" customFormat="false" ht="15" hidden="false" customHeight="false" outlineLevel="0" collapsed="false">
      <c r="B5" s="8" t="s">
        <v>22</v>
      </c>
      <c r="C5" s="9" t="n">
        <f aca="false">MIN(Sensitivity!C5:G9)</f>
        <v>29.7515510204479</v>
      </c>
      <c r="D5" s="9" t="n">
        <f aca="false">MAX(Sensitivity!C5:G9)</f>
        <v>51.1823855386253</v>
      </c>
      <c r="E5" s="10" t="n">
        <f aca="false">D5-C5</f>
        <v>21.4308345181774</v>
      </c>
      <c r="F5" s="9" t="n">
        <f aca="false">DCF!C30</f>
        <v>37.3587809488998</v>
      </c>
    </row>
    <row r="6" customFormat="false" ht="15" hidden="false" customHeight="false" outlineLevel="0" collapsed="false">
      <c r="B6" s="8" t="s">
        <v>23</v>
      </c>
      <c r="C6" s="9" t="n">
        <f aca="false">(DCF!C23+(DCF!C20-1)*Forecast!H6*DCF!H14-Forecast!C15+Forecast!C14)/Forecast!C16</f>
        <v>33.9070418548512</v>
      </c>
      <c r="D6" s="9" t="n">
        <f aca="false">(DCF!C23+(DCF!C20+1)*Forecast!H6*DCF!H14-Forecast!C15+Forecast!C14)/Forecast!C16</f>
        <v>39.3544178928264</v>
      </c>
      <c r="E6" s="10" t="n">
        <f aca="false">D6-C6</f>
        <v>5.44737603797525</v>
      </c>
      <c r="F6" s="9" t="n">
        <f aca="false">DCF!E30</f>
        <v>36.6307298738388</v>
      </c>
    </row>
    <row r="7" customFormat="false" ht="15" hidden="false" customHeight="false" outlineLevel="0" collapsed="false">
      <c r="B7" s="8" t="s">
        <v>24</v>
      </c>
      <c r="C7" s="9" t="n">
        <f aca="false">Comps!D19</f>
        <v>27.5021548821549</v>
      </c>
      <c r="D7" s="9" t="n">
        <f aca="false">Comps!D21</f>
        <v>58.1593265993266</v>
      </c>
      <c r="E7" s="10" t="n">
        <f aca="false">D7-C7</f>
        <v>30.6571717171717</v>
      </c>
      <c r="F7" s="9" t="n">
        <f aca="false">Comps!D20</f>
        <v>32.9025589225589</v>
      </c>
    </row>
    <row r="8" customFormat="false" ht="15" hidden="false" customHeight="false" outlineLevel="0" collapsed="false">
      <c r="B8" s="8" t="s">
        <v>25</v>
      </c>
      <c r="C8" s="9" t="n">
        <f aca="false">Comps!C19</f>
        <v>27.074898989899</v>
      </c>
      <c r="D8" s="9" t="n">
        <f aca="false">Comps!C21</f>
        <v>55.5050673400673</v>
      </c>
      <c r="E8" s="10" t="n">
        <f aca="false">D8-C8</f>
        <v>28.4301683501683</v>
      </c>
      <c r="F8" s="9" t="n">
        <f aca="false">Comps!C20</f>
        <v>35.9593265993266</v>
      </c>
    </row>
    <row r="9" customFormat="false" ht="15" hidden="false" customHeight="false" outlineLevel="0" collapsed="false">
      <c r="B9" s="8" t="s">
        <v>26</v>
      </c>
      <c r="C9" s="9" t="n">
        <f aca="false">Comps!E19</f>
        <v>14.56875</v>
      </c>
      <c r="D9" s="9" t="n">
        <f aca="false">Comps!E21</f>
        <v>20.203125</v>
      </c>
      <c r="E9" s="10" t="n">
        <f aca="false">D9-C9</f>
        <v>5.634375</v>
      </c>
      <c r="F9" s="9" t="n">
        <f aca="false">Comps!E20</f>
        <v>16.8375</v>
      </c>
    </row>
    <row r="10" customFormat="false" ht="15" hidden="false" customHeight="false" outlineLevel="0" collapsed="false">
      <c r="B10" s="8" t="s">
        <v>27</v>
      </c>
      <c r="C10" s="9" t="n">
        <f aca="false">Forecast!C19</f>
        <v>31.97</v>
      </c>
      <c r="D10" s="9" t="n">
        <f aca="false">Forecast!D19</f>
        <v>70.44</v>
      </c>
      <c r="E10" s="10" t="n">
        <f aca="false">D10-C10</f>
        <v>38.47</v>
      </c>
      <c r="F10" s="9" t="n">
        <f aca="false">Forecast!C17</f>
        <v>37.21</v>
      </c>
    </row>
    <row r="12" customFormat="false" ht="15" hidden="false" customHeight="false" outlineLevel="0" collapsed="false">
      <c r="B12" s="11" t="s">
        <v>28</v>
      </c>
      <c r="F12" s="12" t="n">
        <f aca="false">Forecast!C17</f>
        <v>37.21</v>
      </c>
    </row>
    <row r="13" customFormat="false" ht="15" hidden="false" customHeight="false" outlineLevel="0" collapsed="false">
      <c r="B13" s="11" t="s">
        <v>29</v>
      </c>
      <c r="F13" s="13" t="n">
        <f aca="false">AVERAGE(F5:F6)</f>
        <v>36.9947554113693</v>
      </c>
    </row>
    <row r="14" customFormat="false" ht="15" hidden="false" customHeight="false" outlineLevel="0" collapsed="false">
      <c r="B14" s="11" t="s">
        <v>30</v>
      </c>
      <c r="F14" s="14" t="n">
        <f aca="false">F13/F12-1</f>
        <v>-0.00578458985838992</v>
      </c>
    </row>
    <row r="16" customFormat="false" ht="15" hidden="false" customHeight="false" outlineLevel="0" collapsed="false">
      <c r="B16" s="2" t="s">
        <v>31</v>
      </c>
    </row>
    <row r="17" customFormat="false" ht="15" hidden="false" customHeight="false" outlineLevel="0" collapsed="false">
      <c r="B17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8" min="3" style="0" width="12"/>
  </cols>
  <sheetData>
    <row r="1" customFormat="false" ht="17.35" hidden="false" customHeight="false" outlineLevel="0" collapsed="false">
      <c r="B1" s="5" t="s">
        <v>33</v>
      </c>
    </row>
    <row r="2" customFormat="false" ht="15" hidden="false" customHeight="false" outlineLevel="0" collapsed="false">
      <c r="B2" s="2" t="s">
        <v>34</v>
      </c>
    </row>
    <row r="4" customFormat="false" ht="15" hidden="false" customHeight="false" outlineLevel="0" collapsed="false">
      <c r="B4" s="6"/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</row>
    <row r="5" customFormat="false" ht="15" hidden="false" customHeight="false" outlineLevel="0" collapsed="false">
      <c r="B5" s="8" t="s">
        <v>41</v>
      </c>
      <c r="C5" s="15" t="n">
        <v>46398</v>
      </c>
      <c r="D5" s="15" t="n">
        <v>42441.5</v>
      </c>
      <c r="E5" s="15" t="n">
        <v>43237.1</v>
      </c>
      <c r="F5" s="15" t="n">
        <v>45140.2</v>
      </c>
      <c r="G5" s="15" t="n">
        <v>47196.8</v>
      </c>
      <c r="H5" s="15" t="n">
        <v>49130</v>
      </c>
    </row>
    <row r="6" customFormat="false" ht="15" hidden="false" customHeight="false" outlineLevel="0" collapsed="false">
      <c r="B6" s="8" t="s">
        <v>42</v>
      </c>
      <c r="C6" s="15" t="n">
        <v>4544</v>
      </c>
      <c r="D6" s="15" t="n">
        <v>2673.9</v>
      </c>
      <c r="E6" s="15" t="n">
        <v>3631.9</v>
      </c>
      <c r="F6" s="15" t="n">
        <v>4604.3</v>
      </c>
      <c r="G6" s="15" t="n">
        <v>5474.8</v>
      </c>
      <c r="H6" s="15" t="n">
        <v>6239.5</v>
      </c>
    </row>
    <row r="7" customFormat="false" ht="15" hidden="false" customHeight="false" outlineLevel="0" collapsed="false">
      <c r="B7" s="8" t="s">
        <v>43</v>
      </c>
      <c r="C7" s="15" t="n">
        <v>747</v>
      </c>
      <c r="D7" s="15" t="n">
        <v>679.1</v>
      </c>
      <c r="E7" s="15" t="n">
        <v>691.8</v>
      </c>
      <c r="F7" s="15" t="n">
        <v>722.2</v>
      </c>
      <c r="G7" s="15" t="n">
        <v>755.1</v>
      </c>
      <c r="H7" s="15" t="n">
        <v>786.1</v>
      </c>
    </row>
    <row r="8" customFormat="false" ht="15" hidden="false" customHeight="false" outlineLevel="0" collapsed="false">
      <c r="B8" s="11" t="s">
        <v>44</v>
      </c>
      <c r="C8" s="16" t="n">
        <f aca="false">C6-C7</f>
        <v>3797</v>
      </c>
      <c r="D8" s="16" t="n">
        <f aca="false">D6-D7</f>
        <v>1994.8</v>
      </c>
      <c r="E8" s="16" t="n">
        <f aca="false">E6-E7</f>
        <v>2940.1</v>
      </c>
      <c r="F8" s="16" t="n">
        <f aca="false">F6-F7</f>
        <v>3882.1</v>
      </c>
      <c r="G8" s="16" t="n">
        <f aca="false">G6-G7</f>
        <v>4719.7</v>
      </c>
      <c r="H8" s="16" t="n">
        <f aca="false">H6-H7</f>
        <v>5453.4</v>
      </c>
    </row>
    <row r="9" customFormat="false" ht="15" hidden="false" customHeight="false" outlineLevel="0" collapsed="false">
      <c r="B9" s="8" t="s">
        <v>45</v>
      </c>
      <c r="C9" s="15" t="n">
        <v>684</v>
      </c>
      <c r="D9" s="15" t="n">
        <v>679.1</v>
      </c>
      <c r="E9" s="15" t="n">
        <v>691.8</v>
      </c>
      <c r="F9" s="15" t="n">
        <v>722.2</v>
      </c>
      <c r="G9" s="15" t="n">
        <v>755.1</v>
      </c>
      <c r="H9" s="15" t="n">
        <v>786.1</v>
      </c>
    </row>
    <row r="10" customFormat="false" ht="15" hidden="false" customHeight="false" outlineLevel="0" collapsed="false">
      <c r="B10" s="8" t="s">
        <v>46</v>
      </c>
      <c r="C10" s="15" t="n">
        <v>5884</v>
      </c>
      <c r="D10" s="15" t="n">
        <v>4851.7</v>
      </c>
      <c r="E10" s="15" t="n">
        <v>4541</v>
      </c>
      <c r="F10" s="15" t="n">
        <v>4324.3</v>
      </c>
      <c r="G10" s="15" t="n">
        <v>4419.1</v>
      </c>
      <c r="H10" s="15" t="n">
        <v>4569.8</v>
      </c>
    </row>
    <row r="11" customFormat="false" ht="15" hidden="false" customHeight="false" outlineLevel="0" collapsed="false">
      <c r="B11" s="8" t="s">
        <v>47</v>
      </c>
      <c r="C11" s="17" t="n">
        <v>2.1</v>
      </c>
      <c r="D11" s="17" t="n">
        <v>1.09</v>
      </c>
      <c r="E11" s="17" t="n">
        <v>1.63</v>
      </c>
      <c r="F11" s="17" t="n">
        <v>2.19</v>
      </c>
      <c r="G11" s="17" t="n">
        <v>2.73</v>
      </c>
      <c r="H11" s="17" t="n">
        <v>3.23</v>
      </c>
    </row>
    <row r="13" customFormat="false" ht="15" hidden="false" customHeight="false" outlineLevel="0" collapsed="false">
      <c r="B13" s="11" t="s">
        <v>48</v>
      </c>
    </row>
    <row r="14" customFormat="false" ht="15" hidden="false" customHeight="false" outlineLevel="0" collapsed="false">
      <c r="B14" s="8" t="s">
        <v>49</v>
      </c>
      <c r="C14" s="15" t="n">
        <v>9027</v>
      </c>
    </row>
    <row r="15" customFormat="false" ht="15" hidden="false" customHeight="false" outlineLevel="0" collapsed="false">
      <c r="B15" s="8" t="s">
        <v>50</v>
      </c>
      <c r="C15" s="15" t="n">
        <v>7942</v>
      </c>
    </row>
    <row r="16" customFormat="false" ht="15" hidden="false" customHeight="false" outlineLevel="0" collapsed="false">
      <c r="B16" s="8" t="s">
        <v>51</v>
      </c>
      <c r="C16" s="18" t="n">
        <v>1485</v>
      </c>
    </row>
    <row r="17" customFormat="false" ht="15" hidden="false" customHeight="false" outlineLevel="0" collapsed="false">
      <c r="B17" s="8" t="s">
        <v>52</v>
      </c>
      <c r="C17" s="19" t="n">
        <v>37.21</v>
      </c>
    </row>
    <row r="18" customFormat="false" ht="15" hidden="false" customHeight="false" outlineLevel="0" collapsed="false">
      <c r="B18" s="8" t="s">
        <v>53</v>
      </c>
      <c r="C18" s="20" t="n">
        <f aca="false">C16*C17</f>
        <v>55256.85</v>
      </c>
    </row>
    <row r="19" customFormat="false" ht="15" hidden="false" customHeight="false" outlineLevel="0" collapsed="false">
      <c r="B19" s="8" t="s">
        <v>54</v>
      </c>
      <c r="C19" s="17" t="n">
        <v>31.97</v>
      </c>
      <c r="D19" s="17" t="n">
        <v>70.44</v>
      </c>
    </row>
    <row r="21" customFormat="false" ht="15" hidden="false" customHeight="false" outlineLevel="0" collapsed="false">
      <c r="B21" s="2" t="s">
        <v>55</v>
      </c>
    </row>
    <row r="22" customFormat="false" ht="15" hidden="false" customHeight="false" outlineLevel="0" collapsed="false">
      <c r="B22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5" t="s">
        <v>57</v>
      </c>
    </row>
    <row r="2" customFormat="false" ht="15" hidden="false" customHeight="false" outlineLevel="0" collapsed="false">
      <c r="B2" s="2" t="s">
        <v>34</v>
      </c>
    </row>
    <row r="5" customFormat="false" ht="15" hidden="false" customHeight="false" outlineLevel="0" collapsed="false">
      <c r="B5" s="8" t="s">
        <v>58</v>
      </c>
      <c r="C5" s="21" t="n">
        <v>0.0509</v>
      </c>
      <c r="D5" s="2" t="s">
        <v>59</v>
      </c>
    </row>
    <row r="6" customFormat="false" ht="15" hidden="false" customHeight="false" outlineLevel="0" collapsed="false">
      <c r="B6" s="8" t="s">
        <v>60</v>
      </c>
      <c r="C6" s="21" t="n">
        <v>0.05</v>
      </c>
      <c r="D6" s="2" t="s">
        <v>61</v>
      </c>
    </row>
    <row r="7" customFormat="false" ht="15" hidden="false" customHeight="false" outlineLevel="0" collapsed="false">
      <c r="B7" s="8" t="s">
        <v>62</v>
      </c>
      <c r="C7" s="22" t="n">
        <v>1.1</v>
      </c>
      <c r="D7" s="2" t="s">
        <v>63</v>
      </c>
    </row>
    <row r="8" customFormat="false" ht="15" hidden="false" customHeight="false" outlineLevel="0" collapsed="false">
      <c r="B8" s="11" t="s">
        <v>64</v>
      </c>
      <c r="C8" s="14" t="n">
        <f aca="false">C5+C7*C6</f>
        <v>0.1059</v>
      </c>
      <c r="D8" s="2" t="s">
        <v>65</v>
      </c>
    </row>
    <row r="10" customFormat="false" ht="15" hidden="false" customHeight="false" outlineLevel="0" collapsed="false">
      <c r="B10" s="8" t="s">
        <v>66</v>
      </c>
      <c r="C10" s="23" t="n">
        <v>0.059</v>
      </c>
      <c r="D10" s="2" t="s">
        <v>67</v>
      </c>
    </row>
    <row r="11" customFormat="false" ht="15" hidden="false" customHeight="false" outlineLevel="0" collapsed="false">
      <c r="B11" s="8" t="s">
        <v>68</v>
      </c>
      <c r="C11" s="23" t="n">
        <v>0.19</v>
      </c>
      <c r="D11" s="2" t="s">
        <v>69</v>
      </c>
    </row>
    <row r="12" customFormat="false" ht="15" hidden="false" customHeight="false" outlineLevel="0" collapsed="false">
      <c r="B12" s="8" t="s">
        <v>70</v>
      </c>
      <c r="C12" s="24" t="n">
        <f aca="false">C10*(1-C11)</f>
        <v>0.04779</v>
      </c>
      <c r="D12" s="2"/>
    </row>
    <row r="14" customFormat="false" ht="15" hidden="false" customHeight="false" outlineLevel="0" collapsed="false">
      <c r="B14" s="8" t="s">
        <v>71</v>
      </c>
      <c r="C14" s="25" t="n">
        <f aca="false">Forecast!C15/(Forecast!C15+Forecast!C18)</f>
        <v>0.125666843621363</v>
      </c>
      <c r="D14" s="2" t="s">
        <v>72</v>
      </c>
    </row>
    <row r="15" customFormat="false" ht="15" hidden="false" customHeight="false" outlineLevel="0" collapsed="false">
      <c r="B15" s="8" t="s">
        <v>73</v>
      </c>
      <c r="C15" s="24" t="n">
        <f aca="false">1-C14</f>
        <v>0.874333156378637</v>
      </c>
      <c r="D15" s="2"/>
    </row>
    <row r="17" customFormat="false" ht="15" hidden="false" customHeight="false" outlineLevel="0" collapsed="false">
      <c r="B17" s="11" t="s">
        <v>74</v>
      </c>
      <c r="C17" s="26" t="n">
        <f aca="false">C15*C8+C14*C12</f>
        <v>0.0985974997171626</v>
      </c>
      <c r="D17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2"/>
  </cols>
  <sheetData>
    <row r="1" customFormat="false" ht="17.35" hidden="false" customHeight="false" outlineLevel="0" collapsed="false">
      <c r="B1" s="5" t="s">
        <v>76</v>
      </c>
    </row>
    <row r="2" customFormat="false" ht="15" hidden="false" customHeight="false" outlineLevel="0" collapsed="false">
      <c r="B2" s="2" t="s">
        <v>34</v>
      </c>
    </row>
    <row r="4" customFormat="false" ht="15" hidden="false" customHeight="false" outlineLevel="0" collapsed="false">
      <c r="B4" s="6"/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</row>
    <row r="5" customFormat="false" ht="15" hidden="false" customHeight="false" outlineLevel="0" collapsed="false">
      <c r="B5" s="8" t="s">
        <v>44</v>
      </c>
      <c r="C5" s="27" t="n">
        <f aca="false">Forecast!C8</f>
        <v>3797</v>
      </c>
      <c r="D5" s="27" t="n">
        <f aca="false">Forecast!D8</f>
        <v>1994.8</v>
      </c>
      <c r="E5" s="27" t="n">
        <f aca="false">Forecast!E8</f>
        <v>2940.1</v>
      </c>
      <c r="F5" s="27" t="n">
        <f aca="false">Forecast!F8</f>
        <v>3882.1</v>
      </c>
      <c r="G5" s="27" t="n">
        <f aca="false">Forecast!G8</f>
        <v>4719.7</v>
      </c>
      <c r="H5" s="27" t="n">
        <f aca="false">Forecast!H8</f>
        <v>5453.4</v>
      </c>
    </row>
    <row r="6" customFormat="false" ht="15" hidden="false" customHeight="false" outlineLevel="0" collapsed="false">
      <c r="B6" s="8" t="s">
        <v>77</v>
      </c>
      <c r="D6" s="27" t="n">
        <f aca="false">-D5*WACC!$C$11</f>
        <v>-379.012</v>
      </c>
      <c r="E6" s="27" t="n">
        <f aca="false">-E5*WACC!$C$11</f>
        <v>-558.619</v>
      </c>
      <c r="F6" s="27" t="n">
        <f aca="false">-F5*WACC!$C$11</f>
        <v>-737.599</v>
      </c>
      <c r="G6" s="27" t="n">
        <f aca="false">-G5*WACC!$C$11</f>
        <v>-896.743</v>
      </c>
      <c r="H6" s="27" t="n">
        <f aca="false">-H5*WACC!$C$11</f>
        <v>-1036.146</v>
      </c>
    </row>
    <row r="7" customFormat="false" ht="15" hidden="false" customHeight="false" outlineLevel="0" collapsed="false">
      <c r="B7" s="11" t="s">
        <v>78</v>
      </c>
      <c r="D7" s="16" t="n">
        <f aca="false">D5+D6</f>
        <v>1615.788</v>
      </c>
      <c r="E7" s="16" t="n">
        <f aca="false">E5+E6</f>
        <v>2381.481</v>
      </c>
      <c r="F7" s="16" t="n">
        <f aca="false">F5+F6</f>
        <v>3144.501</v>
      </c>
      <c r="G7" s="16" t="n">
        <f aca="false">G5+G6</f>
        <v>3822.957</v>
      </c>
      <c r="H7" s="16" t="n">
        <f aca="false">H5+H6</f>
        <v>4417.254</v>
      </c>
    </row>
    <row r="8" customFormat="false" ht="15" hidden="false" customHeight="false" outlineLevel="0" collapsed="false">
      <c r="B8" s="8" t="s">
        <v>79</v>
      </c>
      <c r="D8" s="27" t="n">
        <f aca="false">Forecast!D7</f>
        <v>679.1</v>
      </c>
      <c r="E8" s="27" t="n">
        <f aca="false">Forecast!E7</f>
        <v>691.8</v>
      </c>
      <c r="F8" s="27" t="n">
        <f aca="false">Forecast!F7</f>
        <v>722.2</v>
      </c>
      <c r="G8" s="27" t="n">
        <f aca="false">Forecast!G7</f>
        <v>755.1</v>
      </c>
      <c r="H8" s="27" t="n">
        <f aca="false">Forecast!H7</f>
        <v>786.1</v>
      </c>
    </row>
    <row r="9" customFormat="false" ht="15" hidden="false" customHeight="false" outlineLevel="0" collapsed="false">
      <c r="B9" s="8" t="s">
        <v>80</v>
      </c>
      <c r="D9" s="27" t="n">
        <f aca="false">-Forecast!D9</f>
        <v>-679.1</v>
      </c>
      <c r="E9" s="27" t="n">
        <f aca="false">-Forecast!E9</f>
        <v>-691.8</v>
      </c>
      <c r="F9" s="27" t="n">
        <f aca="false">-Forecast!F9</f>
        <v>-722.2</v>
      </c>
      <c r="G9" s="27" t="n">
        <f aca="false">-Forecast!G9</f>
        <v>-755.1</v>
      </c>
      <c r="H9" s="27" t="n">
        <f aca="false">-Forecast!H9</f>
        <v>-786.1</v>
      </c>
    </row>
    <row r="10" customFormat="false" ht="15" hidden="false" customHeight="false" outlineLevel="0" collapsed="false">
      <c r="B10" s="8" t="s">
        <v>81</v>
      </c>
      <c r="D10" s="27" t="n">
        <f aca="false">-(Forecast!D10-Forecast!C10)</f>
        <v>1032.3</v>
      </c>
      <c r="E10" s="27" t="n">
        <f aca="false">-(Forecast!E10-Forecast!D10)</f>
        <v>310.7</v>
      </c>
      <c r="F10" s="27" t="n">
        <f aca="false">-(Forecast!F10-Forecast!E10)</f>
        <v>216.7</v>
      </c>
      <c r="G10" s="27" t="n">
        <f aca="false">-(Forecast!G10-Forecast!F10)</f>
        <v>-94.8000000000002</v>
      </c>
      <c r="H10" s="27" t="n">
        <f aca="false">-(Forecast!H10-Forecast!G10)</f>
        <v>-150.7</v>
      </c>
    </row>
    <row r="11" customFormat="false" ht="15" hidden="false" customHeight="false" outlineLevel="0" collapsed="false">
      <c r="B11" s="11" t="s">
        <v>82</v>
      </c>
      <c r="D11" s="16" t="n">
        <f aca="false">SUM(D7:D10)</f>
        <v>2648.088</v>
      </c>
      <c r="E11" s="16" t="n">
        <f aca="false">SUM(E7:E10)</f>
        <v>2692.181</v>
      </c>
      <c r="F11" s="16" t="n">
        <f aca="false">SUM(F7:F10)</f>
        <v>3361.201</v>
      </c>
      <c r="G11" s="16" t="n">
        <f aca="false">SUM(G7:G10)</f>
        <v>3728.157</v>
      </c>
      <c r="H11" s="16" t="n">
        <f aca="false">SUM(H7:H10)</f>
        <v>4266.554</v>
      </c>
    </row>
    <row r="13" customFormat="false" ht="15" hidden="false" customHeight="false" outlineLevel="0" collapsed="false">
      <c r="B13" s="8" t="s">
        <v>83</v>
      </c>
      <c r="D13" s="28" t="n">
        <v>0.61</v>
      </c>
      <c r="E13" s="28" t="n">
        <v>1.61</v>
      </c>
      <c r="F13" s="28" t="n">
        <v>2.61</v>
      </c>
      <c r="G13" s="28" t="n">
        <v>3.61</v>
      </c>
      <c r="H13" s="28" t="n">
        <v>4.61</v>
      </c>
    </row>
    <row r="14" customFormat="false" ht="15" hidden="false" customHeight="false" outlineLevel="0" collapsed="false">
      <c r="B14" s="8" t="s">
        <v>84</v>
      </c>
      <c r="D14" s="29" t="n">
        <f aca="false">1/(1+$C$18)^D13</f>
        <v>0.944253167117495</v>
      </c>
      <c r="E14" s="29" t="n">
        <f aca="false">1/(1+$C$18)^E13</f>
        <v>0.859507842827419</v>
      </c>
      <c r="F14" s="29" t="n">
        <f aca="false">1/(1+$C$18)^F13</f>
        <v>0.782368285972526</v>
      </c>
      <c r="G14" s="29" t="n">
        <f aca="false">1/(1+$C$18)^G13</f>
        <v>0.712151890181754</v>
      </c>
      <c r="H14" s="29" t="n">
        <f aca="false">1/(1+$C$18)^H13</f>
        <v>0.648237311995612</v>
      </c>
    </row>
    <row r="15" customFormat="false" ht="15" hidden="false" customHeight="false" outlineLevel="0" collapsed="false">
      <c r="B15" s="8" t="s">
        <v>85</v>
      </c>
      <c r="D15" s="20" t="n">
        <f aca="false">D11*D14</f>
        <v>2500.46548080583</v>
      </c>
      <c r="E15" s="20" t="n">
        <f aca="false">E11*E14</f>
        <v>2313.95068381096</v>
      </c>
      <c r="F15" s="20" t="n">
        <f aca="false">F11*F14</f>
        <v>2629.69706517914</v>
      </c>
      <c r="G15" s="20" t="n">
        <f aca="false">G11*G14</f>
        <v>2655.01405444434</v>
      </c>
      <c r="H15" s="20" t="n">
        <f aca="false">H11*H14</f>
        <v>2765.73949644413</v>
      </c>
    </row>
    <row r="17" customFormat="false" ht="15" hidden="false" customHeight="false" outlineLevel="0" collapsed="false">
      <c r="B17" s="11" t="s">
        <v>86</v>
      </c>
    </row>
    <row r="18" customFormat="false" ht="15" hidden="false" customHeight="false" outlineLevel="0" collapsed="false">
      <c r="B18" s="8" t="s">
        <v>74</v>
      </c>
      <c r="C18" s="25" t="n">
        <f aca="false">WACC!C17</f>
        <v>0.0985974997171626</v>
      </c>
    </row>
    <row r="19" customFormat="false" ht="15" hidden="false" customHeight="false" outlineLevel="0" collapsed="false">
      <c r="B19" s="8" t="s">
        <v>87</v>
      </c>
      <c r="C19" s="21" t="n">
        <v>0.03</v>
      </c>
    </row>
    <row r="20" customFormat="false" ht="15" hidden="false" customHeight="false" outlineLevel="0" collapsed="false">
      <c r="B20" s="8" t="s">
        <v>88</v>
      </c>
      <c r="C20" s="30" t="n">
        <v>10</v>
      </c>
    </row>
    <row r="22" customFormat="false" ht="15" hidden="false" customHeight="false" outlineLevel="0" collapsed="false">
      <c r="B22" s="11" t="s">
        <v>89</v>
      </c>
      <c r="C22" s="31" t="s">
        <v>90</v>
      </c>
      <c r="E22" s="31" t="s">
        <v>91</v>
      </c>
    </row>
    <row r="23" customFormat="false" ht="15" hidden="false" customHeight="false" outlineLevel="0" collapsed="false">
      <c r="B23" s="8" t="s">
        <v>92</v>
      </c>
      <c r="C23" s="20" t="n">
        <f aca="false">SUM(D15:H15)</f>
        <v>12864.8667806844</v>
      </c>
      <c r="E23" s="20" t="n">
        <f aca="false">SUM(D15:H15)</f>
        <v>12864.8667806844</v>
      </c>
    </row>
    <row r="24" customFormat="false" ht="15" hidden="false" customHeight="false" outlineLevel="0" collapsed="false">
      <c r="B24" s="8" t="s">
        <v>93</v>
      </c>
      <c r="C24" s="20" t="n">
        <f aca="false">H11*(1+C19)/(C18-C19)</f>
        <v>64062.839580442</v>
      </c>
      <c r="E24" s="27" t="n">
        <f aca="false">Forecast!H6*C20</f>
        <v>62395</v>
      </c>
    </row>
    <row r="25" customFormat="false" ht="15" hidden="false" customHeight="false" outlineLevel="0" collapsed="false">
      <c r="B25" s="8" t="s">
        <v>94</v>
      </c>
      <c r="C25" s="20" t="n">
        <f aca="false">C24*H14</f>
        <v>41527.9229284318</v>
      </c>
      <c r="E25" s="20" t="n">
        <f aca="false">E24*H14</f>
        <v>40446.7670819662</v>
      </c>
    </row>
    <row r="26" customFormat="false" ht="15" hidden="false" customHeight="false" outlineLevel="0" collapsed="false">
      <c r="B26" s="11" t="s">
        <v>95</v>
      </c>
      <c r="C26" s="16" t="n">
        <f aca="false">C23+C25</f>
        <v>54392.7897091162</v>
      </c>
      <c r="E26" s="16" t="n">
        <f aca="false">E23+E25</f>
        <v>53311.6338626506</v>
      </c>
    </row>
    <row r="27" customFormat="false" ht="15" hidden="false" customHeight="false" outlineLevel="0" collapsed="false">
      <c r="B27" s="8" t="s">
        <v>96</v>
      </c>
      <c r="C27" s="27" t="n">
        <f aca="false">-Forecast!C15</f>
        <v>-7942</v>
      </c>
      <c r="E27" s="27" t="n">
        <f aca="false">-Forecast!C15</f>
        <v>-7942</v>
      </c>
    </row>
    <row r="28" customFormat="false" ht="15" hidden="false" customHeight="false" outlineLevel="0" collapsed="false">
      <c r="B28" s="8" t="s">
        <v>97</v>
      </c>
      <c r="C28" s="27" t="n">
        <f aca="false">Forecast!C14</f>
        <v>9027</v>
      </c>
      <c r="E28" s="27" t="n">
        <f aca="false">Forecast!C14</f>
        <v>9027</v>
      </c>
    </row>
    <row r="29" customFormat="false" ht="15" hidden="false" customHeight="false" outlineLevel="0" collapsed="false">
      <c r="B29" s="11" t="s">
        <v>98</v>
      </c>
      <c r="C29" s="16" t="n">
        <f aca="false">SUM(C26:C28)</f>
        <v>55477.7897091162</v>
      </c>
      <c r="E29" s="16" t="n">
        <f aca="false">SUM(E26:E28)</f>
        <v>54396.6338626506</v>
      </c>
    </row>
    <row r="30" customFormat="false" ht="15" hidden="false" customHeight="false" outlineLevel="0" collapsed="false">
      <c r="B30" s="11" t="s">
        <v>99</v>
      </c>
      <c r="C30" s="32" t="n">
        <f aca="false">C29/Forecast!C16</f>
        <v>37.3587809488998</v>
      </c>
      <c r="E30" s="32" t="n">
        <f aca="false">E29/Forecast!C16</f>
        <v>36.6307298738388</v>
      </c>
    </row>
    <row r="31" customFormat="false" ht="15" hidden="false" customHeight="false" outlineLevel="0" collapsed="false">
      <c r="B31" s="8" t="s">
        <v>30</v>
      </c>
      <c r="C31" s="25" t="n">
        <f aca="false">C30/Forecast!C17-1</f>
        <v>0.00399841303143811</v>
      </c>
      <c r="E31" s="25" t="n">
        <f aca="false">E30/Forecast!C17-1</f>
        <v>-0.015567592748218</v>
      </c>
    </row>
    <row r="32" customFormat="false" ht="15" hidden="false" customHeight="false" outlineLevel="0" collapsed="false">
      <c r="B32" s="8" t="s">
        <v>100</v>
      </c>
      <c r="C32" s="24" t="n">
        <f aca="false">C25/C26</f>
        <v>0.763482129718229</v>
      </c>
      <c r="E32" s="24" t="n">
        <f aca="false">E25/E26</f>
        <v>0.758685565446582</v>
      </c>
    </row>
    <row r="33" customFormat="false" ht="15" hidden="false" customHeight="false" outlineLevel="0" collapsed="false">
      <c r="B33" s="8" t="s">
        <v>101</v>
      </c>
      <c r="C33" s="33" t="n">
        <f aca="false">C24/Forecast!H6</f>
        <v>10.2673034025871</v>
      </c>
      <c r="E33" s="24" t="n">
        <f aca="false">(E24*C18-H11)/(E24+H11)</f>
        <v>0.0282837240015791</v>
      </c>
    </row>
    <row r="35" customFormat="false" ht="15" hidden="false" customHeight="false" outlineLevel="0" collapsed="false">
      <c r="B35" s="2" t="s">
        <v>102</v>
      </c>
    </row>
    <row r="36" customFormat="false" ht="15" hidden="false" customHeight="false" outlineLevel="0" collapsed="false">
      <c r="B36" s="2" t="s">
        <v>103</v>
      </c>
    </row>
    <row r="37" customFormat="false" ht="15" hidden="false" customHeight="false" outlineLevel="0" collapsed="false">
      <c r="B37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7" min="3" style="0" width="12"/>
  </cols>
  <sheetData>
    <row r="1" customFormat="false" ht="17.35" hidden="false" customHeight="false" outlineLevel="0" collapsed="false">
      <c r="B1" s="5" t="s">
        <v>105</v>
      </c>
    </row>
    <row r="2" customFormat="false" ht="15" hidden="false" customHeight="false" outlineLevel="0" collapsed="false">
      <c r="B2" s="2" t="s">
        <v>106</v>
      </c>
    </row>
    <row r="4" customFormat="false" ht="15" hidden="false" customHeight="false" outlineLevel="0" collapsed="false">
      <c r="B4" s="11" t="s">
        <v>107</v>
      </c>
      <c r="C4" s="34" t="n">
        <f aca="false">DCF!$C$19+(-0.01)</f>
        <v>0.02</v>
      </c>
      <c r="D4" s="34" t="n">
        <f aca="false">DCF!$C$19+(-0.005)</f>
        <v>0.025</v>
      </c>
      <c r="E4" s="34" t="n">
        <f aca="false">DCF!$C$19+(0)</f>
        <v>0.03</v>
      </c>
      <c r="F4" s="34" t="n">
        <f aca="false">DCF!$C$19+(0.005)</f>
        <v>0.035</v>
      </c>
      <c r="G4" s="34" t="n">
        <f aca="false">DCF!$C$19+(0.01)</f>
        <v>0.04</v>
      </c>
    </row>
    <row r="5" customFormat="false" ht="15" hidden="false" customHeight="false" outlineLevel="0" collapsed="false">
      <c r="B5" s="34" t="n">
        <f aca="false">DCF!$C$18+(-0.01)</f>
        <v>0.0885974997171626</v>
      </c>
      <c r="C5" s="9" t="n">
        <f aca="false">(SUMPRODUCT(DCF!$D$11:$H$11/(1+$B5)^DCF!$D$13:$H$13)+DCF!$H$11*(1+C$4)/($B5-C$4)/(1+$B5)^DCF!$H$13-Forecast!$C$15+Forecast!$C$14)/Forecast!$C$16</f>
        <v>38.4951352973992</v>
      </c>
      <c r="D5" s="9" t="n">
        <f aca="false">(SUMPRODUCT(DCF!$D$11:$H$11/(1+$B5)^DCF!$D$13:$H$13)+DCF!$H$11*(1+D$4)/($B5-D$4)/(1+$B5)^DCF!$H$13-Forecast!$C$15+Forecast!$C$14)/Forecast!$C$16</f>
        <v>40.9188494479225</v>
      </c>
      <c r="E5" s="9" t="n">
        <f aca="false">(SUMPRODUCT(DCF!$D$11:$H$11/(1+$B5)^DCF!$D$13:$H$13)+DCF!$H$11*(1+E$4)/($B5-E$4)/(1+$B5)^DCF!$H$13-Forecast!$C$15+Forecast!$C$14)/Forecast!$C$16</f>
        <v>43.7561843437373</v>
      </c>
      <c r="F5" s="9" t="n">
        <f aca="false">(SUMPRODUCT(DCF!$D$11:$H$11/(1+$B5)^DCF!$D$13:$H$13)+DCF!$H$11*(1+F$4)/($B5-F$4)/(1+$B5)^DCF!$H$13-Forecast!$C$15+Forecast!$C$14)/Forecast!$C$16</f>
        <v>47.1228974588325</v>
      </c>
      <c r="G5" s="9" t="n">
        <f aca="false">(SUMPRODUCT(DCF!$D$11:$H$11/(1+$B5)^DCF!$D$13:$H$13)+DCF!$H$11*(1+G$4)/($B5-G$4)/(1+$B5)^DCF!$H$13-Forecast!$C$15+Forecast!$C$14)/Forecast!$C$16</f>
        <v>51.1823855386253</v>
      </c>
    </row>
    <row r="6" customFormat="false" ht="15" hidden="false" customHeight="false" outlineLevel="0" collapsed="false">
      <c r="B6" s="34" t="n">
        <f aca="false">DCF!$C$18+(-0.005)</f>
        <v>0.0935974997171626</v>
      </c>
      <c r="C6" s="9" t="n">
        <f aca="false">(SUMPRODUCT(DCF!$D$11:$H$11/(1+$B6)^DCF!$D$13:$H$13)+DCF!$H$11*(1+C$4)/($B6-C$4)/(1+$B6)^DCF!$H$13-Forecast!$C$15+Forecast!$C$14)/Forecast!$C$16</f>
        <v>35.8610730664486</v>
      </c>
      <c r="D6" s="9" t="n">
        <f aca="false">(SUMPRODUCT(DCF!$D$11:$H$11/(1+$B6)^DCF!$D$13:$H$13)+DCF!$H$11*(1+D$4)/($B6-D$4)/(1+$B6)^DCF!$H$13-Forecast!$C$15+Forecast!$C$14)/Forecast!$C$16</f>
        <v>37.9211044849825</v>
      </c>
      <c r="E6" s="9" t="n">
        <f aca="false">(SUMPRODUCT(DCF!$D$11:$H$11/(1+$B6)^DCF!$D$13:$H$13)+DCF!$H$11*(1+E$4)/($B6-E$4)/(1+$B6)^DCF!$H$13-Forecast!$C$15+Forecast!$C$14)/Forecast!$C$16</f>
        <v>40.3050529486353</v>
      </c>
      <c r="F6" s="9" t="n">
        <f aca="false">(SUMPRODUCT(DCF!$D$11:$H$11/(1+$B6)^DCF!$D$13:$H$13)+DCF!$H$11*(1+F$4)/($B6-F$4)/(1+$B6)^DCF!$H$13-Forecast!$C$15+Forecast!$C$14)/Forecast!$C$16</f>
        <v>43.0958359146406</v>
      </c>
      <c r="G6" s="9" t="n">
        <f aca="false">(SUMPRODUCT(DCF!$D$11:$H$11/(1+$B6)^DCF!$D$13:$H$13)+DCF!$H$11*(1+G$4)/($B6-G$4)/(1+$B6)^DCF!$H$13-Forecast!$C$15+Forecast!$C$14)/Forecast!$C$16</f>
        <v>46.407311633243</v>
      </c>
    </row>
    <row r="7" customFormat="false" ht="15" hidden="false" customHeight="false" outlineLevel="0" collapsed="false">
      <c r="B7" s="34" t="n">
        <f aca="false">DCF!$C$18+(0)</f>
        <v>0.0985974997171626</v>
      </c>
      <c r="C7" s="9" t="n">
        <f aca="false">(SUMPRODUCT(DCF!$D$11:$H$11/(1+$B7)^DCF!$D$13:$H$13)+DCF!$H$11*(1+C$4)/($B7-C$4)/(1+$B7)^DCF!$H$13-Forecast!$C$15+Forecast!$C$14)/Forecast!$C$16</f>
        <v>33.5638279018399</v>
      </c>
      <c r="D7" s="9" t="n">
        <f aca="false">(SUMPRODUCT(DCF!$D$11:$H$11/(1+$B7)^DCF!$D$13:$H$13)+DCF!$H$11*(1+D$4)/($B7-D$4)/(1+$B7)^DCF!$H$13-Forecast!$C$15+Forecast!$C$14)/Forecast!$C$16</f>
        <v>35.3323953910398</v>
      </c>
      <c r="E7" s="35" t="n">
        <f aca="false">(SUMPRODUCT(DCF!$D$11:$H$11/(1+$B7)^DCF!$D$13:$H$13)+DCF!$H$11*(1+E$4)/($B7-E$4)/(1+$B7)^DCF!$H$13-Forecast!$C$15+Forecast!$C$14)/Forecast!$C$16</f>
        <v>37.3587809488998</v>
      </c>
      <c r="F7" s="9" t="n">
        <f aca="false">(SUMPRODUCT(DCF!$D$11:$H$11/(1+$B7)^DCF!$D$13:$H$13)+DCF!$H$11*(1+F$4)/($B7-F$4)/(1+$B7)^DCF!$H$13-Forecast!$C$15+Forecast!$C$14)/Forecast!$C$16</f>
        <v>39.7037931142322</v>
      </c>
      <c r="G7" s="9" t="n">
        <f aca="false">(SUMPRODUCT(DCF!$D$11:$H$11/(1+$B7)^DCF!$D$13:$H$13)+DCF!$H$11*(1+G$4)/($B7-G$4)/(1+$B7)^DCF!$H$13-Forecast!$C$15+Forecast!$C$14)/Forecast!$C$16</f>
        <v>42.4489950788992</v>
      </c>
    </row>
    <row r="8" customFormat="false" ht="15" hidden="false" customHeight="false" outlineLevel="0" collapsed="false">
      <c r="B8" s="34" t="n">
        <f aca="false">DCF!$C$18+(0.005)</f>
        <v>0.103597499717163</v>
      </c>
      <c r="C8" s="9" t="n">
        <f aca="false">(SUMPRODUCT(DCF!$D$11:$H$11/(1+$B8)^DCF!$D$13:$H$13)+DCF!$H$11*(1+C$4)/($B8-C$4)/(1+$B8)^DCF!$H$13-Forecast!$C$15+Forecast!$C$14)/Forecast!$C$16</f>
        <v>31.5429273628291</v>
      </c>
      <c r="D8" s="9" t="n">
        <f aca="false">(SUMPRODUCT(DCF!$D$11:$H$11/(1+$B8)^DCF!$D$13:$H$13)+DCF!$H$11*(1+D$4)/($B8-D$4)/(1+$B8)^DCF!$H$13-Forecast!$C$15+Forecast!$C$14)/Forecast!$C$16</f>
        <v>33.074621755969</v>
      </c>
      <c r="E8" s="9" t="n">
        <f aca="false">(SUMPRODUCT(DCF!$D$11:$H$11/(1+$B8)^DCF!$D$13:$H$13)+DCF!$H$11*(1+E$4)/($B8-E$4)/(1+$B8)^DCF!$H$13-Forecast!$C$15+Forecast!$C$14)/Forecast!$C$16</f>
        <v>34.8144338703666</v>
      </c>
      <c r="F8" s="9" t="n">
        <f aca="false">(SUMPRODUCT(DCF!$D$11:$H$11/(1+$B8)^DCF!$D$13:$H$13)+DCF!$H$11*(1+F$4)/($B8-F$4)/(1+$B8)^DCF!$H$13-Forecast!$C$15+Forecast!$C$14)/Forecast!$C$16</f>
        <v>36.8078721550432</v>
      </c>
      <c r="G8" s="9" t="n">
        <f aca="false">(SUMPRODUCT(DCF!$D$11:$H$11/(1+$B8)^DCF!$D$13:$H$13)+DCF!$H$11*(1+G$4)/($B8-G$4)/(1+$B8)^DCF!$H$13-Forecast!$C$15+Forecast!$C$14)/Forecast!$C$16</f>
        <v>39.114756454664</v>
      </c>
    </row>
    <row r="9" customFormat="false" ht="15" hidden="false" customHeight="false" outlineLevel="0" collapsed="false">
      <c r="B9" s="34" t="n">
        <f aca="false">DCF!$C$18+(0.01)</f>
        <v>0.108597499717163</v>
      </c>
      <c r="C9" s="9" t="n">
        <f aca="false">(SUMPRODUCT(DCF!$D$11:$H$11/(1+$B9)^DCF!$D$13:$H$13)+DCF!$H$11*(1+C$4)/($B9-C$4)/(1+$B9)^DCF!$H$13-Forecast!$C$15+Forecast!$C$14)/Forecast!$C$16</f>
        <v>29.7515510204479</v>
      </c>
      <c r="D9" s="9" t="n">
        <f aca="false">(SUMPRODUCT(DCF!$D$11:$H$11/(1+$B9)^DCF!$D$13:$H$13)+DCF!$H$11*(1+D$4)/($B9-D$4)/(1+$B9)^DCF!$H$13-Forecast!$C$15+Forecast!$C$14)/Forecast!$C$16</f>
        <v>31.0883690148152</v>
      </c>
      <c r="E9" s="9" t="n">
        <f aca="false">(SUMPRODUCT(DCF!$D$11:$H$11/(1+$B9)^DCF!$D$13:$H$13)+DCF!$H$11*(1+E$4)/($B9-E$4)/(1+$B9)^DCF!$H$13-Forecast!$C$15+Forecast!$C$14)/Forecast!$C$16</f>
        <v>32.5952710448297</v>
      </c>
      <c r="F9" s="9" t="n">
        <f aca="false">(SUMPRODUCT(DCF!$D$11:$H$11/(1+$B9)^DCF!$D$13:$H$13)+DCF!$H$11*(1+F$4)/($B9-F$4)/(1+$B9)^DCF!$H$13-Forecast!$C$15+Forecast!$C$14)/Forecast!$C$16</f>
        <v>34.3069221540663</v>
      </c>
      <c r="G9" s="9" t="n">
        <f aca="false">(SUMPRODUCT(DCF!$D$11:$H$11/(1+$B9)^DCF!$D$13:$H$13)+DCF!$H$11*(1+G$4)/($B9-G$4)/(1+$B9)^DCF!$H$13-Forecast!$C$15+Forecast!$C$14)/Forecast!$C$16</f>
        <v>36.2680941811636</v>
      </c>
    </row>
    <row r="11" customFormat="false" ht="15" hidden="false" customHeight="false" outlineLevel="0" collapsed="false">
      <c r="B11" s="2" t="s">
        <v>108</v>
      </c>
    </row>
    <row r="12" customFormat="false" ht="15" hidden="false" customHeight="false" outlineLevel="0" collapsed="false">
      <c r="B12" s="8" t="s">
        <v>109</v>
      </c>
      <c r="E12" s="9" t="n">
        <f aca="false">ROUND(E7-DCF!C30,6)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2"/>
  </cols>
  <sheetData>
    <row r="1" customFormat="false" ht="17.35" hidden="false" customHeight="false" outlineLevel="0" collapsed="false">
      <c r="B1" s="5" t="s">
        <v>110</v>
      </c>
    </row>
    <row r="2" customFormat="false" ht="15" hidden="false" customHeight="false" outlineLevel="0" collapsed="false">
      <c r="B2" s="2" t="s">
        <v>111</v>
      </c>
    </row>
    <row r="4" customFormat="false" ht="15" hidden="false" customHeight="false" outlineLevel="0" collapsed="false">
      <c r="B4" s="6"/>
      <c r="C4" s="7" t="s">
        <v>112</v>
      </c>
      <c r="D4" s="7" t="s">
        <v>113</v>
      </c>
      <c r="E4" s="7" t="s">
        <v>114</v>
      </c>
    </row>
    <row r="5" customFormat="false" ht="15" hidden="false" customHeight="false" outlineLevel="0" collapsed="false">
      <c r="B5" s="8" t="s">
        <v>115</v>
      </c>
      <c r="C5" s="36" t="n">
        <v>1.24</v>
      </c>
      <c r="D5" s="36" t="n">
        <v>9.77</v>
      </c>
      <c r="E5" s="36" t="n">
        <v>15.21</v>
      </c>
    </row>
    <row r="6" customFormat="false" ht="15" hidden="false" customHeight="false" outlineLevel="0" collapsed="false">
      <c r="B6" s="8" t="s">
        <v>116</v>
      </c>
      <c r="C6" s="36" t="n">
        <v>0.79</v>
      </c>
      <c r="D6" s="37" t="s">
        <v>117</v>
      </c>
      <c r="E6" s="37" t="s">
        <v>117</v>
      </c>
    </row>
    <row r="7" customFormat="false" ht="15" hidden="false" customHeight="false" outlineLevel="0" collapsed="false">
      <c r="B7" s="8" t="s">
        <v>118</v>
      </c>
      <c r="C7" s="36" t="n">
        <v>1.04</v>
      </c>
      <c r="D7" s="36" t="n">
        <v>4.86</v>
      </c>
      <c r="E7" s="36" t="n">
        <v>11.73</v>
      </c>
    </row>
    <row r="8" customFormat="false" ht="15" hidden="false" customHeight="false" outlineLevel="0" collapsed="false">
      <c r="B8" s="8" t="s">
        <v>119</v>
      </c>
      <c r="C8" s="36" t="n">
        <v>1.95</v>
      </c>
      <c r="D8" s="36" t="n">
        <v>8.13</v>
      </c>
      <c r="E8" s="36" t="n">
        <v>11.43</v>
      </c>
    </row>
    <row r="9" customFormat="false" ht="15" hidden="false" customHeight="false" outlineLevel="0" collapsed="false">
      <c r="B9" s="8" t="s">
        <v>120</v>
      </c>
      <c r="C9" s="36" t="n">
        <v>2.78</v>
      </c>
      <c r="D9" s="36" t="n">
        <v>18.25</v>
      </c>
      <c r="E9" s="36" t="n">
        <v>19.02</v>
      </c>
    </row>
    <row r="10" customFormat="false" ht="15" hidden="false" customHeight="false" outlineLevel="0" collapsed="false">
      <c r="B10" s="8" t="s">
        <v>121</v>
      </c>
      <c r="C10" s="36" t="n">
        <v>0.61</v>
      </c>
      <c r="D10" s="36" t="n">
        <v>17.44</v>
      </c>
      <c r="E10" s="37" t="s">
        <v>117</v>
      </c>
    </row>
    <row r="12" customFormat="false" ht="15" hidden="false" customHeight="false" outlineLevel="0" collapsed="false">
      <c r="B12" s="11" t="s">
        <v>122</v>
      </c>
      <c r="C12" s="38" t="n">
        <f aca="false">QUARTILE(C5:C10,1)</f>
        <v>0.8525</v>
      </c>
      <c r="D12" s="38" t="n">
        <f aca="false">QUARTILE(D5:D10,1)</f>
        <v>8.13</v>
      </c>
      <c r="E12" s="38" t="n">
        <f aca="false">QUARTILE(E5:E10,1)</f>
        <v>11.655</v>
      </c>
    </row>
    <row r="13" customFormat="false" ht="15" hidden="false" customHeight="false" outlineLevel="0" collapsed="false">
      <c r="B13" s="11" t="s">
        <v>123</v>
      </c>
      <c r="C13" s="39" t="n">
        <f aca="false">MEDIAN(C5:C10)</f>
        <v>1.14</v>
      </c>
      <c r="D13" s="39" t="n">
        <f aca="false">MEDIAN(D5:D10)</f>
        <v>9.77</v>
      </c>
      <c r="E13" s="39" t="n">
        <f aca="false">MEDIAN(E5:E10)</f>
        <v>13.47</v>
      </c>
    </row>
    <row r="14" customFormat="false" ht="15" hidden="false" customHeight="false" outlineLevel="0" collapsed="false">
      <c r="B14" s="11" t="s">
        <v>124</v>
      </c>
      <c r="C14" s="39" t="n">
        <f aca="false">QUARTILE(C5:C10,3)</f>
        <v>1.7725</v>
      </c>
      <c r="D14" s="39" t="n">
        <f aca="false">QUARTILE(D5:D10,3)</f>
        <v>17.44</v>
      </c>
      <c r="E14" s="39" t="n">
        <f aca="false">QUARTILE(E5:E10,3)</f>
        <v>16.1625</v>
      </c>
    </row>
    <row r="15" customFormat="false" ht="15" hidden="false" customHeight="false" outlineLevel="0" collapsed="false">
      <c r="B15" s="2" t="s">
        <v>125</v>
      </c>
      <c r="C15" s="40" t="n">
        <v>1.26</v>
      </c>
      <c r="D15" s="40" t="n">
        <v>11.86</v>
      </c>
      <c r="E15" s="40" t="n">
        <v>28.41</v>
      </c>
    </row>
    <row r="16" customFormat="false" ht="15" hidden="false" customHeight="false" outlineLevel="0" collapsed="false">
      <c r="B16" s="11" t="s">
        <v>126</v>
      </c>
      <c r="C16" s="15" t="n">
        <v>45890</v>
      </c>
      <c r="D16" s="15" t="n">
        <v>4890</v>
      </c>
      <c r="E16" s="19" t="n">
        <v>1.25</v>
      </c>
    </row>
    <row r="17" customFormat="false" ht="15" hidden="false" customHeight="false" outlineLevel="0" collapsed="false">
      <c r="B17" s="2" t="s">
        <v>127</v>
      </c>
    </row>
    <row r="18" customFormat="false" ht="15" hidden="false" customHeight="false" outlineLevel="0" collapsed="false">
      <c r="B18" s="11" t="s">
        <v>128</v>
      </c>
    </row>
    <row r="19" customFormat="false" ht="15" hidden="false" customHeight="false" outlineLevel="0" collapsed="false">
      <c r="B19" s="8" t="s">
        <v>129</v>
      </c>
      <c r="C19" s="9" t="n">
        <f aca="false">(C12*C$16-Forecast!$C$15+Forecast!$C$14)/Forecast!$C$16</f>
        <v>27.074898989899</v>
      </c>
      <c r="D19" s="9" t="n">
        <f aca="false">(D12*D$16-Forecast!$C$15+Forecast!$C$14)/Forecast!$C$16</f>
        <v>27.5021548821549</v>
      </c>
      <c r="E19" s="10" t="n">
        <f aca="false">E12*E$16</f>
        <v>14.56875</v>
      </c>
    </row>
    <row r="20" customFormat="false" ht="15" hidden="false" customHeight="false" outlineLevel="0" collapsed="false">
      <c r="B20" s="8" t="s">
        <v>130</v>
      </c>
      <c r="C20" s="9" t="n">
        <f aca="false">(C13*C$16-Forecast!$C$15+Forecast!$C$14)/Forecast!$C$16</f>
        <v>35.9593265993266</v>
      </c>
      <c r="D20" s="9" t="n">
        <f aca="false">(D13*D$16-Forecast!$C$15+Forecast!$C$14)/Forecast!$C$16</f>
        <v>32.9025589225589</v>
      </c>
      <c r="E20" s="10" t="n">
        <f aca="false">E13*E$16</f>
        <v>16.8375</v>
      </c>
    </row>
    <row r="21" customFormat="false" ht="15" hidden="false" customHeight="false" outlineLevel="0" collapsed="false">
      <c r="B21" s="8" t="s">
        <v>131</v>
      </c>
      <c r="C21" s="9" t="n">
        <f aca="false">(C14*C$16-Forecast!$C$15+Forecast!$C$14)/Forecast!$C$16</f>
        <v>55.5050673400673</v>
      </c>
      <c r="D21" s="9" t="n">
        <f aca="false">(D14*D$16-Forecast!$C$15+Forecast!$C$14)/Forecast!$C$16</f>
        <v>58.1593265993266</v>
      </c>
      <c r="E21" s="10" t="n">
        <f aca="false">E14*E$16</f>
        <v>20.203125</v>
      </c>
    </row>
    <row r="23" customFormat="false" ht="15" hidden="false" customHeight="false" outlineLevel="0" collapsed="false">
      <c r="B23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2026-10-20T05:50:23Z</dcterms:created>
  <dc:creator>openpyxl</dc:creator>
  <dc:description/>
  <dc:language>en-US</dc:language>
  <cp:lastModifiedBy/>
  <dcterms:modified xsi:type="dcterms:W3CDTF">2026-10-20T05:50:25Z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